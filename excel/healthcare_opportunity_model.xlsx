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Hospital_Screen" sheetId="3" state="visible" r:id="rId3"/>
    <sheet name="Scenarios" sheetId="4" state="visible" r:id="rId4"/>
    <sheet name="v1_Reconciliation" sheetId="5" state="visible" r:id="rId5"/>
  </sheets>
  <definedNames>
    <definedName name="_xlnm._FilterDatabase" localSheetId="2" hidden="1">'Hospital_Screen'!$A$1:$M$1997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&quot;$&quot;#,##0.0,,&quot;M&quot;"/>
  </numFmts>
  <fonts count="9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FFFFFF"/>
    </font>
    <font>
      <b val="1"/>
      <color rgb="000000FF"/>
    </font>
    <font>
      <color rgb="006B7280"/>
    </font>
    <font>
      <b val="1"/>
      <color rgb="001F2937"/>
    </font>
    <font>
      <i val="1"/>
      <color rgb="006B7280"/>
    </font>
    <font>
      <b val="1"/>
    </font>
    <font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3" fontId="3" fillId="3" borderId="0" pivotButton="0" quotePrefix="0" xfId="0"/>
    <xf numFmtId="0" fontId="5" fillId="0" borderId="0" pivotButton="0" quotePrefix="0" xfId="0"/>
    <xf numFmtId="10" fontId="0" fillId="0" borderId="0" pivotButton="0" quotePrefix="0" xfId="0"/>
    <xf numFmtId="9" fontId="2" fillId="2" borderId="0" applyAlignment="1" pivotButton="0" quotePrefix="0" xfId="0">
      <alignment horizontal="center" vertical="center" wrapText="1"/>
    </xf>
    <xf numFmtId="9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payment effect by scope (Base capture)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'Summary'!C11</f>
            </strRef>
          </tx>
          <spPr>
            <a:solidFill>
              <a:srgbClr val="1D4E89"/>
            </a:solidFill>
            <a:ln>
              <a:prstDash val="solid"/>
            </a:ln>
          </spPr>
          <cat>
            <numRef>
              <f>'Summary'!$A$12:$A$14</f>
            </numRef>
          </cat>
          <val>
            <numRef>
              <f>'Summary'!$C$12:$C$14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Medicare Inpatient: Pricing, Payment &amp; Documentation Opportunity (DY2023)</t>
        </is>
      </c>
    </row>
    <row r="3">
      <c r="A3" s="2" t="inlineStr">
        <is>
          <t>Headline KPI</t>
        </is>
      </c>
      <c r="B3" s="2" t="inlineStr">
        <is>
          <t>Value</t>
        </is>
      </c>
    </row>
    <row r="4">
      <c r="A4" t="inlineStr">
        <is>
          <t>Total charges (list price)</t>
        </is>
      </c>
      <c r="B4" s="3">
        <f>Assumptions!B13</f>
        <v/>
      </c>
    </row>
    <row r="5">
      <c r="A5" t="inlineStr">
        <is>
          <t>Total payments (all payers)</t>
        </is>
      </c>
      <c r="B5" s="3">
        <f>Assumptions!B14</f>
        <v/>
      </c>
    </row>
    <row r="6">
      <c r="A6" t="inlineStr">
        <is>
          <t>Payment-to-charge ratio</t>
        </is>
      </c>
      <c r="B6" s="4">
        <f>Assumptions!B14/Assumptions!B13</f>
        <v/>
      </c>
    </row>
    <row r="7">
      <c r="A7" t="inlineStr">
        <is>
          <t>Charge-to-payment gap (descriptive only)</t>
        </is>
      </c>
      <c r="B7" s="3">
        <f>Assumptions!B16</f>
        <v/>
      </c>
    </row>
    <row r="8">
      <c r="A8" t="inlineStr">
        <is>
          <t>Hospitals screened for severity mix</t>
        </is>
      </c>
      <c r="B8" s="5">
        <f>Scenarios!C9</f>
        <v/>
      </c>
    </row>
    <row r="9">
      <c r="A9" t="inlineStr">
        <is>
          <t>Eligible for documentation review</t>
        </is>
      </c>
      <c r="B9" s="5">
        <f>Scenarios!B9</f>
        <v/>
      </c>
    </row>
    <row r="11">
      <c r="A11" s="2" t="inlineStr">
        <is>
          <t>Documentation-capture opportunity</t>
        </is>
      </c>
      <c r="B11" s="2" t="inlineStr">
        <is>
          <t>Low</t>
        </is>
      </c>
      <c r="C11" s="2" t="inlineStr">
        <is>
          <t>Base</t>
        </is>
      </c>
      <c r="D11" s="2" t="inlineStr">
        <is>
          <t>High</t>
        </is>
      </c>
    </row>
    <row r="12">
      <c r="A12">
        <f>Scenarios!A5</f>
        <v/>
      </c>
      <c r="B12" s="6">
        <f>Scenarios!D5</f>
        <v/>
      </c>
      <c r="C12" s="6">
        <f>Scenarios!E5</f>
        <v/>
      </c>
      <c r="D12" s="6">
        <f>Scenarios!F5</f>
        <v/>
      </c>
    </row>
    <row r="13">
      <c r="A13">
        <f>Scenarios!A6</f>
        <v/>
      </c>
      <c r="B13" s="6">
        <f>Scenarios!D6</f>
        <v/>
      </c>
      <c r="C13" s="6">
        <f>Scenarios!E6</f>
        <v/>
      </c>
      <c r="D13" s="6">
        <f>Scenarios!F6</f>
        <v/>
      </c>
    </row>
    <row r="14">
      <c r="A14">
        <f>Scenarios!A7</f>
        <v/>
      </c>
      <c r="B14" s="6">
        <f>Scenarios!D7</f>
        <v/>
      </c>
      <c r="C14" s="6">
        <f>Scenarios!E7</f>
        <v/>
      </c>
      <c r="D14" s="6">
        <f>Scenarios!F7</f>
        <v/>
      </c>
    </row>
    <row r="16">
      <c r="A16" s="7" t="inlineStr">
        <is>
          <t>Read the Assumptions sheet before quoting any number. See v1_Reconciliation for corrections to the earlier model.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90" customWidth="1" min="3" max="3"/>
  </cols>
  <sheetData>
    <row r="1">
      <c r="A1" s="8" t="inlineStr">
        <is>
          <t>Assumptions (blue cells are inputs - change them and every sheet recalculates)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Review threshold: minimum shortfall vs peers (% of expected payment)</t>
        </is>
      </c>
      <c r="B4" s="9" t="n">
        <v>0.02</v>
      </c>
      <c r="C4" s="10" t="inlineStr">
        <is>
          <t>Only hospitals at least this far below peers' severity mix are counted. Filters statistical noise.</t>
        </is>
      </c>
    </row>
    <row r="5">
      <c r="A5" t="inlineStr">
        <is>
          <t>Capture rate - Low</t>
        </is>
      </c>
      <c r="B5" s="9" t="n">
        <v>0.1</v>
      </c>
      <c r="C5" s="10" t="inlineStr">
        <is>
          <t>Share of the shortfall realistically supported by clinical documentation review</t>
        </is>
      </c>
    </row>
    <row r="6">
      <c r="A6" t="inlineStr">
        <is>
          <t>Capture rate - Base</t>
        </is>
      </c>
      <c r="B6" s="9" t="n">
        <v>0.25</v>
      </c>
      <c r="C6" s="10" t="inlineStr"/>
    </row>
    <row r="7">
      <c r="A7" t="inlineStr">
        <is>
          <t>Capture rate - High</t>
        </is>
      </c>
      <c r="B7" s="9" t="n">
        <v>0.5</v>
      </c>
      <c r="C7" s="10" t="inlineStr"/>
    </row>
    <row r="8">
      <c r="A8" t="inlineStr">
        <is>
          <t>Scope A: top N hospitals reviewed</t>
        </is>
      </c>
      <c r="B8" s="11" t="n">
        <v>25</v>
      </c>
      <c r="C8" s="10" t="inlineStr">
        <is>
          <t>Pilot wave: largest shortfalls first</t>
        </is>
      </c>
    </row>
    <row r="9">
      <c r="A9" t="inlineStr">
        <is>
          <t>Scope B: top N hospitals reviewed</t>
        </is>
      </c>
      <c r="B9" s="11" t="n">
        <v>100</v>
      </c>
      <c r="C9" s="10" t="inlineStr">
        <is>
          <t>Programme wave</t>
        </is>
      </c>
    </row>
    <row r="10">
      <c r="A10" t="inlineStr">
        <is>
          <t>Scope C: top N hospitals reviewed</t>
        </is>
      </c>
      <c r="B10" s="11" t="n">
        <v>10000</v>
      </c>
      <c r="C10" s="10" t="inlineStr">
        <is>
          <t>All eligible hospitals (N larger than the list)</t>
        </is>
      </c>
    </row>
    <row r="12">
      <c r="A12" s="12" t="inlineStr">
        <is>
          <t>Fixed facts (from the SQL views, not editable)</t>
        </is>
      </c>
    </row>
    <row r="13">
      <c r="A13" t="inlineStr">
        <is>
          <t>Total charges, all hospitals</t>
        </is>
      </c>
      <c r="B13" s="3" t="n">
        <v>432169290236.049</v>
      </c>
    </row>
    <row r="14">
      <c r="A14" t="inlineStr">
        <is>
          <t>Total payments, all payers</t>
        </is>
      </c>
      <c r="B14" s="3" t="n">
        <v>88411099941.99983</v>
      </c>
    </row>
    <row r="15">
      <c r="A15" t="inlineStr">
        <is>
          <t xml:space="preserve">   of which Medicare</t>
        </is>
      </c>
      <c r="B15" s="3" t="n">
        <v>73392758686.99661</v>
      </c>
    </row>
    <row r="16">
      <c r="A16" t="inlineStr">
        <is>
          <t>Charge-to-payment gap (descriptive, NOT recoverable)</t>
        </is>
      </c>
      <c r="B16" s="3" t="n">
        <v>343758190294.0491</v>
      </c>
    </row>
    <row r="17">
      <c r="A17" t="inlineStr">
        <is>
          <t>Discharges</t>
        </is>
      </c>
      <c r="B17" s="5" t="n">
        <v>4960325</v>
      </c>
    </row>
    <row r="19">
      <c r="A19" s="7" t="inlineStr">
        <is>
          <t>Source: CMS Medicare Inpatient Hospitals by Provider and Service, data year 2023 (fee-for-service Medicare only; cells of 10 or fewer discharges suppressed).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7" customWidth="1" min="3" max="3"/>
    <col width="15" customWidth="1" min="4" max="4"/>
    <col width="12" customWidth="1" min="5" max="5"/>
    <col width="11" customWidth="1" min="6" max="6"/>
    <col width="12" customWidth="1" min="7" max="7"/>
    <col width="16" customWidth="1" min="8" max="8"/>
    <col width="16" customWidth="1" min="9" max="9"/>
    <col width="10" customWidth="1" min="10" max="10"/>
    <col width="10" customWidth="1" min="11" max="11"/>
    <col width="16" customWidth="1" min="12" max="12"/>
    <col width="10" customWidth="1" min="13" max="13"/>
  </cols>
  <sheetData>
    <row r="1" ht="32" customHeight="1">
      <c r="A1" s="2" t="inlineStr">
        <is>
          <t>Provider ID</t>
        </is>
      </c>
      <c r="B1" s="2" t="inlineStr">
        <is>
          <t>Hospital</t>
        </is>
      </c>
      <c r="C1" s="2" t="inlineStr">
        <is>
          <t>State</t>
        </is>
      </c>
      <c r="D1" s="2" t="inlineStr">
        <is>
          <t>Setting</t>
        </is>
      </c>
      <c r="E1" s="2" t="inlineStr">
        <is>
          <t>Tiered discharges</t>
        </is>
      </c>
      <c r="F1" s="2" t="inlineStr">
        <is>
          <t>Top-tier share</t>
        </is>
      </c>
      <c r="G1" s="2" t="inlineStr">
        <is>
          <t>Peer expected share</t>
        </is>
      </c>
      <c r="H1" s="2" t="inlineStr">
        <is>
          <t>Expected payment ($)</t>
        </is>
      </c>
      <c r="I1" s="2" t="inlineStr">
        <is>
          <t>Severity shortfall ($)</t>
        </is>
      </c>
      <c r="J1" s="2" t="inlineStr">
        <is>
          <t>Shortfall %</t>
        </is>
      </c>
      <c r="K1" s="2" t="inlineStr">
        <is>
          <t>Eligible (1/0)</t>
        </is>
      </c>
      <c r="L1" s="2" t="inlineStr">
        <is>
          <t>Eligible shortfall ($)</t>
        </is>
      </c>
      <c r="M1" s="2" t="inlineStr">
        <is>
          <t>Eligible rank</t>
        </is>
      </c>
    </row>
    <row r="2">
      <c r="A2" t="inlineStr">
        <is>
          <t>100087</t>
        </is>
      </c>
      <c r="B2" t="inlineStr">
        <is>
          <t>Sarasota Memorial Hospital</t>
        </is>
      </c>
      <c r="C2" t="inlineStr">
        <is>
          <t>FL</t>
        </is>
      </c>
      <c r="D2" t="inlineStr">
        <is>
          <t>Metropolitan</t>
        </is>
      </c>
      <c r="E2" s="5" t="n">
        <v>14547</v>
      </c>
      <c r="F2" s="4" t="n">
        <v>0.4319791022203891</v>
      </c>
      <c r="G2" s="4" t="n">
        <v>0.4809713143434723</v>
      </c>
      <c r="H2" s="3" t="n">
        <v>261356162.8853751</v>
      </c>
      <c r="I2" s="3" t="n">
        <v>8167292.28886044</v>
      </c>
      <c r="J2" s="4" t="n">
        <v>0.0312496640549564</v>
      </c>
      <c r="K2">
        <f>IF(AND(I2&gt;0,J2&gt;=Assumptions!$B$4),1,0)</f>
        <v/>
      </c>
      <c r="L2" s="3">
        <f>I2*K2</f>
        <v/>
      </c>
      <c r="M2">
        <f>SUM($K$2:K2)</f>
        <v/>
      </c>
    </row>
    <row r="3">
      <c r="A3" t="inlineStr">
        <is>
          <t>330182</t>
        </is>
      </c>
      <c r="B3" t="inlineStr">
        <is>
          <t>St Francis Hospital, Roslyn</t>
        </is>
      </c>
      <c r="C3" t="inlineStr">
        <is>
          <t>NY</t>
        </is>
      </c>
      <c r="D3" t="inlineStr">
        <is>
          <t>Metropolitan</t>
        </is>
      </c>
      <c r="E3" s="5" t="n">
        <v>8495</v>
      </c>
      <c r="F3" s="4" t="n">
        <v>0.4330782813419658</v>
      </c>
      <c r="G3" s="4" t="n">
        <v>0.5277774044007926</v>
      </c>
      <c r="H3" s="3" t="n">
        <v>165409947.6074776</v>
      </c>
      <c r="I3" s="3" t="n">
        <v>7959610.144226015</v>
      </c>
      <c r="J3" s="4" t="n">
        <v>0.0481205045969447</v>
      </c>
      <c r="K3">
        <f>IF(AND(I3&gt;0,J3&gt;=Assumptions!$B$4),1,0)</f>
        <v/>
      </c>
      <c r="L3" s="3">
        <f>I3*K3</f>
        <v/>
      </c>
      <c r="M3">
        <f>SUM($K$2:K3)</f>
        <v/>
      </c>
    </row>
    <row r="4">
      <c r="A4" t="inlineStr">
        <is>
          <t>100088</t>
        </is>
      </c>
      <c r="B4" t="inlineStr">
        <is>
          <t>Baptist Medical Center Jacksonville</t>
        </is>
      </c>
      <c r="C4" t="inlineStr">
        <is>
          <t>FL</t>
        </is>
      </c>
      <c r="D4" t="inlineStr">
        <is>
          <t>Metropolitan</t>
        </is>
      </c>
      <c r="E4" s="5" t="n">
        <v>10800</v>
      </c>
      <c r="F4" s="4" t="n">
        <v>0.4663888888888889</v>
      </c>
      <c r="G4" s="4" t="n">
        <v>0.5149811796797388</v>
      </c>
      <c r="H4" s="3" t="n">
        <v>187350603.6634412</v>
      </c>
      <c r="I4" s="3" t="n">
        <v>7598158.241267472</v>
      </c>
      <c r="J4" s="4" t="n">
        <v>0.0405558247088271</v>
      </c>
      <c r="K4">
        <f>IF(AND(I4&gt;0,J4&gt;=Assumptions!$B$4),1,0)</f>
        <v/>
      </c>
      <c r="L4" s="3">
        <f>I4*K4</f>
        <v/>
      </c>
      <c r="M4">
        <f>SUM($K$2:K4)</f>
        <v/>
      </c>
    </row>
    <row r="5">
      <c r="A5" t="inlineStr">
        <is>
          <t>080001</t>
        </is>
      </c>
      <c r="B5" t="inlineStr">
        <is>
          <t>Christianacare</t>
        </is>
      </c>
      <c r="C5" t="inlineStr">
        <is>
          <t>DE</t>
        </is>
      </c>
      <c r="D5" t="inlineStr">
        <is>
          <t>Metropolitan</t>
        </is>
      </c>
      <c r="E5" s="5" t="n">
        <v>14353</v>
      </c>
      <c r="F5" s="4" t="n">
        <v>0.4752316588866439</v>
      </c>
      <c r="G5" s="4" t="n">
        <v>0.512702366163006</v>
      </c>
      <c r="H5" s="3" t="n">
        <v>249859413.5767122</v>
      </c>
      <c r="I5" s="3" t="n">
        <v>6739790.660470963</v>
      </c>
      <c r="J5" s="4" t="n">
        <v>0.0269743315410515</v>
      </c>
      <c r="K5">
        <f>IF(AND(I5&gt;0,J5&gt;=Assumptions!$B$4),1,0)</f>
        <v/>
      </c>
      <c r="L5" s="3">
        <f>I5*K5</f>
        <v/>
      </c>
      <c r="M5">
        <f>SUM($K$2:K5)</f>
        <v/>
      </c>
    </row>
    <row r="6">
      <c r="A6" t="inlineStr">
        <is>
          <t>050224</t>
        </is>
      </c>
      <c r="B6" t="inlineStr">
        <is>
          <t>Hoag Memorial Hospital Presbyterian</t>
        </is>
      </c>
      <c r="C6" t="inlineStr">
        <is>
          <t>CA</t>
        </is>
      </c>
      <c r="D6" t="inlineStr">
        <is>
          <t>Metropolitan</t>
        </is>
      </c>
      <c r="E6" s="5" t="n">
        <v>7138</v>
      </c>
      <c r="F6" s="4" t="n">
        <v>0.4781451386943121</v>
      </c>
      <c r="G6" s="4" t="n">
        <v>0.556302138221566</v>
      </c>
      <c r="H6" s="3" t="n">
        <v>122702656.7277067</v>
      </c>
      <c r="I6" s="3" t="n">
        <v>6337103.444927231</v>
      </c>
      <c r="J6" s="4" t="n">
        <v>0.0516460165894377</v>
      </c>
      <c r="K6">
        <f>IF(AND(I6&gt;0,J6&gt;=Assumptions!$B$4),1,0)</f>
        <v/>
      </c>
      <c r="L6" s="3">
        <f>I6*K6</f>
        <v/>
      </c>
      <c r="M6">
        <f>SUM($K$2:K6)</f>
        <v/>
      </c>
    </row>
    <row r="7">
      <c r="A7" t="inlineStr">
        <is>
          <t>310022</t>
        </is>
      </c>
      <c r="B7" t="inlineStr">
        <is>
          <t>West Jersey Hospital</t>
        </is>
      </c>
      <c r="C7" t="inlineStr">
        <is>
          <t>NJ</t>
        </is>
      </c>
      <c r="D7" t="inlineStr">
        <is>
          <t>Metropolitan</t>
        </is>
      </c>
      <c r="E7" s="5" t="n">
        <v>6959</v>
      </c>
      <c r="F7" s="4" t="n">
        <v>0.4319586147434976</v>
      </c>
      <c r="G7" s="4" t="n">
        <v>0.5461056694823664</v>
      </c>
      <c r="H7" s="3" t="n">
        <v>94936292.6409702</v>
      </c>
      <c r="I7" s="3" t="n">
        <v>5468314.357461274</v>
      </c>
      <c r="J7" s="4" t="n">
        <v>0.0575998304267192</v>
      </c>
      <c r="K7">
        <f>IF(AND(I7&gt;0,J7&gt;=Assumptions!$B$4),1,0)</f>
        <v/>
      </c>
      <c r="L7" s="3">
        <f>I7*K7</f>
        <v/>
      </c>
      <c r="M7">
        <f>SUM($K$2:K7)</f>
        <v/>
      </c>
    </row>
    <row r="8">
      <c r="A8" t="inlineStr">
        <is>
          <t>220077</t>
        </is>
      </c>
      <c r="B8" t="inlineStr">
        <is>
          <t>Baystate Medical Center</t>
        </is>
      </c>
      <c r="C8" t="inlineStr">
        <is>
          <t>MA</t>
        </is>
      </c>
      <c r="D8" t="inlineStr">
        <is>
          <t>Metropolitan</t>
        </is>
      </c>
      <c r="E8" s="5" t="n">
        <v>8941</v>
      </c>
      <c r="F8" s="4" t="n">
        <v>0.5027401856615591</v>
      </c>
      <c r="G8" s="4" t="n">
        <v>0.5541178371944487</v>
      </c>
      <c r="H8" s="3" t="n">
        <v>157551154.7711403</v>
      </c>
      <c r="I8" s="3" t="n">
        <v>5448176.316795558</v>
      </c>
      <c r="J8" s="4" t="n">
        <v>0.034580364229698</v>
      </c>
      <c r="K8">
        <f>IF(AND(I8&gt;0,J8&gt;=Assumptions!$B$4),1,0)</f>
        <v/>
      </c>
      <c r="L8" s="3">
        <f>I8*K8</f>
        <v/>
      </c>
      <c r="M8">
        <f>SUM($K$2:K8)</f>
        <v/>
      </c>
    </row>
    <row r="9">
      <c r="A9" t="inlineStr">
        <is>
          <t>210023</t>
        </is>
      </c>
      <c r="B9" t="inlineStr">
        <is>
          <t>Luminis Health Anne Arundel Medical Center, Inc</t>
        </is>
      </c>
      <c r="C9" t="inlineStr">
        <is>
          <t>MD</t>
        </is>
      </c>
      <c r="D9" t="inlineStr">
        <is>
          <t>Metropolitan</t>
        </is>
      </c>
      <c r="E9" s="5" t="n">
        <v>6647</v>
      </c>
      <c r="F9" s="4" t="n">
        <v>0.4723935610049646</v>
      </c>
      <c r="G9" s="4" t="n">
        <v>0.5628141629721759</v>
      </c>
      <c r="H9" s="3" t="n">
        <v>99012529.85562472</v>
      </c>
      <c r="I9" s="3" t="n">
        <v>5367128.909772739</v>
      </c>
      <c r="J9" s="4" t="n">
        <v>0.0542065627208882</v>
      </c>
      <c r="K9">
        <f>IF(AND(I9&gt;0,J9&gt;=Assumptions!$B$4),1,0)</f>
        <v/>
      </c>
      <c r="L9" s="3">
        <f>I9*K9</f>
        <v/>
      </c>
      <c r="M9">
        <f>SUM($K$2:K9)</f>
        <v/>
      </c>
    </row>
    <row r="10">
      <c r="A10" t="inlineStr">
        <is>
          <t>420007</t>
        </is>
      </c>
      <c r="B10" t="inlineStr">
        <is>
          <t>Spartanburg Medical Center</t>
        </is>
      </c>
      <c r="C10" t="inlineStr">
        <is>
          <t>SC</t>
        </is>
      </c>
      <c r="D10" t="inlineStr">
        <is>
          <t>Metropolitan</t>
        </is>
      </c>
      <c r="E10" s="5" t="n">
        <v>5011</v>
      </c>
      <c r="F10" s="4" t="n">
        <v>0.4025144681700259</v>
      </c>
      <c r="G10" s="4" t="n">
        <v>0.5074470392051502</v>
      </c>
      <c r="H10" s="3" t="n">
        <v>83463639.27331109</v>
      </c>
      <c r="I10" s="3" t="n">
        <v>5312484.650238827</v>
      </c>
      <c r="J10" s="4" t="n">
        <v>0.06365028767608</v>
      </c>
      <c r="K10">
        <f>IF(AND(I10&gt;0,J10&gt;=Assumptions!$B$4),1,0)</f>
        <v/>
      </c>
      <c r="L10" s="3">
        <f>I10*K10</f>
        <v/>
      </c>
      <c r="M10">
        <f>SUM($K$2:K10)</f>
        <v/>
      </c>
    </row>
    <row r="11">
      <c r="A11" t="inlineStr">
        <is>
          <t>140148</t>
        </is>
      </c>
      <c r="B11" t="inlineStr">
        <is>
          <t>Memorial Medical Center</t>
        </is>
      </c>
      <c r="C11" t="inlineStr">
        <is>
          <t>IL</t>
        </is>
      </c>
      <c r="D11" t="inlineStr">
        <is>
          <t>Metropolitan</t>
        </is>
      </c>
      <c r="E11" s="5" t="n">
        <v>4036</v>
      </c>
      <c r="F11" s="4" t="n">
        <v>0.4370664023785927</v>
      </c>
      <c r="G11" s="4" t="n">
        <v>0.5300085623312191</v>
      </c>
      <c r="H11" s="3" t="n">
        <v>70691122.5064231</v>
      </c>
      <c r="I11" s="3" t="n">
        <v>5110146.429337569</v>
      </c>
      <c r="J11" s="4" t="n">
        <v>0.0722883757981527</v>
      </c>
      <c r="K11">
        <f>IF(AND(I11&gt;0,J11&gt;=Assumptions!$B$4),1,0)</f>
        <v/>
      </c>
      <c r="L11" s="3">
        <f>I11*K11</f>
        <v/>
      </c>
      <c r="M11">
        <f>SUM($K$2:K11)</f>
        <v/>
      </c>
    </row>
    <row r="12">
      <c r="A12" t="inlineStr">
        <is>
          <t>330393</t>
        </is>
      </c>
      <c r="B12" t="inlineStr">
        <is>
          <t>Stony Brook University Hospital</t>
        </is>
      </c>
      <c r="C12" t="inlineStr">
        <is>
          <t>NY</t>
        </is>
      </c>
      <c r="D12" t="inlineStr">
        <is>
          <t>Metropolitan</t>
        </is>
      </c>
      <c r="E12" s="5" t="n">
        <v>10472</v>
      </c>
      <c r="F12" s="4" t="n">
        <v>0.4783231474407945</v>
      </c>
      <c r="G12" s="4" t="n">
        <v>0.5227565948838844</v>
      </c>
      <c r="H12" s="3" t="n">
        <v>174862636.0818996</v>
      </c>
      <c r="I12" s="3" t="n">
        <v>4989751.047773182</v>
      </c>
      <c r="J12" s="4" t="n">
        <v>0.0285352615034131</v>
      </c>
      <c r="K12">
        <f>IF(AND(I12&gt;0,J12&gt;=Assumptions!$B$4),1,0)</f>
        <v/>
      </c>
      <c r="L12" s="3">
        <f>I12*K12</f>
        <v/>
      </c>
      <c r="M12">
        <f>SUM($K$2:K12)</f>
        <v/>
      </c>
    </row>
    <row r="13">
      <c r="A13" t="inlineStr">
        <is>
          <t>010039</t>
        </is>
      </c>
      <c r="B13" t="inlineStr">
        <is>
          <t>Huntsville Hospital</t>
        </is>
      </c>
      <c r="C13" t="inlineStr">
        <is>
          <t>AL</t>
        </is>
      </c>
      <c r="D13" t="inlineStr">
        <is>
          <t>Metropolitan</t>
        </is>
      </c>
      <c r="E13" s="5" t="n">
        <v>8096</v>
      </c>
      <c r="F13" s="4" t="n">
        <v>0.4744318181818182</v>
      </c>
      <c r="G13" s="4" t="n">
        <v>0.5178604441722775</v>
      </c>
      <c r="H13" s="3" t="n">
        <v>149459927.0885899</v>
      </c>
      <c r="I13" s="3" t="n">
        <v>4776255.016951472</v>
      </c>
      <c r="J13" s="4" t="n">
        <v>0.0319567599823625</v>
      </c>
      <c r="K13">
        <f>IF(AND(I13&gt;0,J13&gt;=Assumptions!$B$4),1,0)</f>
        <v/>
      </c>
      <c r="L13" s="3">
        <f>I13*K13</f>
        <v/>
      </c>
      <c r="M13">
        <f>SUM($K$2:K13)</f>
        <v/>
      </c>
    </row>
    <row r="14">
      <c r="A14" t="inlineStr">
        <is>
          <t>050573</t>
        </is>
      </c>
      <c r="B14" t="inlineStr">
        <is>
          <t>Eisenhower Medical Center</t>
        </is>
      </c>
      <c r="C14" t="inlineStr">
        <is>
          <t>CA</t>
        </is>
      </c>
      <c r="D14" t="inlineStr">
        <is>
          <t>Metropolitan</t>
        </is>
      </c>
      <c r="E14" s="5" t="n">
        <v>6367</v>
      </c>
      <c r="F14" s="4" t="n">
        <v>0.467724202921313</v>
      </c>
      <c r="G14" s="4" t="n">
        <v>0.5218157136239253</v>
      </c>
      <c r="H14" s="3" t="n">
        <v>117419855.3115186</v>
      </c>
      <c r="I14" s="3" t="n">
        <v>4450063.430454925</v>
      </c>
      <c r="J14" s="4" t="n">
        <v>0.0378987303182137</v>
      </c>
      <c r="K14">
        <f>IF(AND(I14&gt;0,J14&gt;=Assumptions!$B$4),1,0)</f>
        <v/>
      </c>
      <c r="L14" s="3">
        <f>I14*K14</f>
        <v/>
      </c>
      <c r="M14">
        <f>SUM($K$2:K14)</f>
        <v/>
      </c>
    </row>
    <row r="15">
      <c r="A15" t="inlineStr">
        <is>
          <t>030006</t>
        </is>
      </c>
      <c r="B15" t="inlineStr">
        <is>
          <t>Tucson Medical Center</t>
        </is>
      </c>
      <c r="C15" t="inlineStr">
        <is>
          <t>AZ</t>
        </is>
      </c>
      <c r="D15" t="inlineStr">
        <is>
          <t>Metropolitan</t>
        </is>
      </c>
      <c r="E15" s="5" t="n">
        <v>4585</v>
      </c>
      <c r="F15" s="4" t="n">
        <v>0.4416575790621592</v>
      </c>
      <c r="G15" s="4" t="n">
        <v>0.5000319325238352</v>
      </c>
      <c r="H15" s="3" t="n">
        <v>87313171.90093167</v>
      </c>
      <c r="I15" s="3" t="n">
        <v>4355540.362405136</v>
      </c>
      <c r="J15" s="4" t="n">
        <v>0.0498841156217193</v>
      </c>
      <c r="K15">
        <f>IF(AND(I15&gt;0,J15&gt;=Assumptions!$B$4),1,0)</f>
        <v/>
      </c>
      <c r="L15" s="3">
        <f>I15*K15</f>
        <v/>
      </c>
      <c r="M15">
        <f>SUM($K$2:K15)</f>
        <v/>
      </c>
    </row>
    <row r="16">
      <c r="A16" t="inlineStr">
        <is>
          <t>140010</t>
        </is>
      </c>
      <c r="B16" t="inlineStr">
        <is>
          <t>Northshore University Healthsystem Evanston Hosp</t>
        </is>
      </c>
      <c r="C16" t="inlineStr">
        <is>
          <t>IL</t>
        </is>
      </c>
      <c r="D16" t="inlineStr">
        <is>
          <t>Metropolitan</t>
        </is>
      </c>
      <c r="E16" s="5" t="n">
        <v>11347</v>
      </c>
      <c r="F16" s="4" t="n">
        <v>0.4881466466907552</v>
      </c>
      <c r="G16" s="4" t="n">
        <v>0.5333567052652667</v>
      </c>
      <c r="H16" s="3" t="n">
        <v>190000194.9639502</v>
      </c>
      <c r="I16" s="3" t="n">
        <v>4336472.03091076</v>
      </c>
      <c r="J16" s="4" t="n">
        <v>0.0228235135849915</v>
      </c>
      <c r="K16">
        <f>IF(AND(I16&gt;0,J16&gt;=Assumptions!$B$4),1,0)</f>
        <v/>
      </c>
      <c r="L16" s="3">
        <f>I16*K16</f>
        <v/>
      </c>
      <c r="M16">
        <f>SUM($K$2:K16)</f>
        <v/>
      </c>
    </row>
    <row r="17">
      <c r="A17" t="inlineStr">
        <is>
          <t>100044</t>
        </is>
      </c>
      <c r="B17" t="inlineStr">
        <is>
          <t>Cleveland Clinic Martin North Hospital</t>
        </is>
      </c>
      <c r="C17" t="inlineStr">
        <is>
          <t>FL</t>
        </is>
      </c>
      <c r="D17" t="inlineStr">
        <is>
          <t>Metropolitan</t>
        </is>
      </c>
      <c r="E17" s="5" t="n">
        <v>8522</v>
      </c>
      <c r="F17" s="4" t="n">
        <v>0.4960103262145036</v>
      </c>
      <c r="G17" s="4" t="n">
        <v>0.5565692167017349</v>
      </c>
      <c r="H17" s="3" t="n">
        <v>131399002.2044163</v>
      </c>
      <c r="I17" s="3" t="n">
        <v>4238841.95703958</v>
      </c>
      <c r="J17" s="4" t="n">
        <v>0.0322593161738416</v>
      </c>
      <c r="K17">
        <f>IF(AND(I17&gt;0,J17&gt;=Assumptions!$B$4),1,0)</f>
        <v/>
      </c>
      <c r="L17" s="3">
        <f>I17*K17</f>
        <v/>
      </c>
      <c r="M17">
        <f>SUM($K$2:K17)</f>
        <v/>
      </c>
    </row>
    <row r="18">
      <c r="A18" t="inlineStr">
        <is>
          <t>340114</t>
        </is>
      </c>
      <c r="B18" t="inlineStr">
        <is>
          <t>Rex Hospital</t>
        </is>
      </c>
      <c r="C18" t="inlineStr">
        <is>
          <t>NC</t>
        </is>
      </c>
      <c r="D18" t="inlineStr">
        <is>
          <t>Metropolitan</t>
        </is>
      </c>
      <c r="E18" s="5" t="n">
        <v>5893</v>
      </c>
      <c r="F18" s="4" t="n">
        <v>0.4428983539792975</v>
      </c>
      <c r="G18" s="4" t="n">
        <v>0.5131868761440597</v>
      </c>
      <c r="H18" s="3" t="n">
        <v>105722695.0506657</v>
      </c>
      <c r="I18" s="3" t="n">
        <v>4234726.612280399</v>
      </c>
      <c r="J18" s="4" t="n">
        <v>0.0400550384215137</v>
      </c>
      <c r="K18">
        <f>IF(AND(I18&gt;0,J18&gt;=Assumptions!$B$4),1,0)</f>
        <v/>
      </c>
      <c r="L18" s="3">
        <f>I18*K18</f>
        <v/>
      </c>
      <c r="M18">
        <f>SUM($K$2:K18)</f>
        <v/>
      </c>
    </row>
    <row r="19">
      <c r="A19" t="inlineStr">
        <is>
          <t>140231</t>
        </is>
      </c>
      <c r="B19" t="inlineStr">
        <is>
          <t>Edward Hospital</t>
        </is>
      </c>
      <c r="C19" t="inlineStr">
        <is>
          <t>IL</t>
        </is>
      </c>
      <c r="D19" t="inlineStr">
        <is>
          <t>Metropolitan</t>
        </is>
      </c>
      <c r="E19" s="5" t="n">
        <v>4968</v>
      </c>
      <c r="F19" s="4" t="n">
        <v>0.4541062801932367</v>
      </c>
      <c r="G19" s="4" t="n">
        <v>0.5292355394998192</v>
      </c>
      <c r="H19" s="3" t="n">
        <v>84168382.95986757</v>
      </c>
      <c r="I19" s="3" t="n">
        <v>4077053.611744389</v>
      </c>
      <c r="J19" s="4" t="n">
        <v>0.0484392531776257</v>
      </c>
      <c r="K19">
        <f>IF(AND(I19&gt;0,J19&gt;=Assumptions!$B$4),1,0)</f>
        <v/>
      </c>
      <c r="L19" s="3">
        <f>I19*K19</f>
        <v/>
      </c>
      <c r="M19">
        <f>SUM($K$2:K19)</f>
        <v/>
      </c>
    </row>
    <row r="20">
      <c r="A20" t="inlineStr">
        <is>
          <t>100018</t>
        </is>
      </c>
      <c r="B20" t="inlineStr">
        <is>
          <t>Naples Community Hospital</t>
        </is>
      </c>
      <c r="C20" t="inlineStr">
        <is>
          <t>FL</t>
        </is>
      </c>
      <c r="D20" t="inlineStr">
        <is>
          <t>Metropolitan</t>
        </is>
      </c>
      <c r="E20" s="5" t="n">
        <v>8945</v>
      </c>
      <c r="F20" s="4" t="n">
        <v>0.4378982671883734</v>
      </c>
      <c r="G20" s="4" t="n">
        <v>0.5022236440264705</v>
      </c>
      <c r="H20" s="3" t="n">
        <v>151634459.1800541</v>
      </c>
      <c r="I20" s="3" t="n">
        <v>4028987.175814092</v>
      </c>
      <c r="J20" s="4" t="n">
        <v>0.0265703930201642</v>
      </c>
      <c r="K20">
        <f>IF(AND(I20&gt;0,J20&gt;=Assumptions!$B$4),1,0)</f>
        <v/>
      </c>
      <c r="L20" s="3">
        <f>I20*K20</f>
        <v/>
      </c>
      <c r="M20">
        <f>SUM($K$2:K20)</f>
        <v/>
      </c>
    </row>
    <row r="21">
      <c r="A21" t="inlineStr">
        <is>
          <t>340030</t>
        </is>
      </c>
      <c r="B21" t="inlineStr">
        <is>
          <t>Duke University Hospital</t>
        </is>
      </c>
      <c r="C21" t="inlineStr">
        <is>
          <t>NC</t>
        </is>
      </c>
      <c r="D21" t="inlineStr">
        <is>
          <t>Metropolitan</t>
        </is>
      </c>
      <c r="E21" s="5" t="n">
        <v>6282</v>
      </c>
      <c r="F21" s="4" t="n">
        <v>0.4764406240050939</v>
      </c>
      <c r="G21" s="4" t="n">
        <v>0.5130996152270256</v>
      </c>
      <c r="H21" s="3" t="n">
        <v>135583270.5144502</v>
      </c>
      <c r="I21" s="3" t="n">
        <v>3887083.194168091</v>
      </c>
      <c r="J21" s="4" t="n">
        <v>0.028669342312065</v>
      </c>
      <c r="K21">
        <f>IF(AND(I21&gt;0,J21&gt;=Assumptions!$B$4),1,0)</f>
        <v/>
      </c>
      <c r="L21" s="3">
        <f>I21*K21</f>
        <v/>
      </c>
      <c r="M21">
        <f>SUM($K$2:K21)</f>
        <v/>
      </c>
    </row>
    <row r="22">
      <c r="A22" t="inlineStr">
        <is>
          <t>340069</t>
        </is>
      </c>
      <c r="B22" t="inlineStr">
        <is>
          <t>Wakemed</t>
        </is>
      </c>
      <c r="C22" t="inlineStr">
        <is>
          <t>NC</t>
        </is>
      </c>
      <c r="D22" t="inlineStr">
        <is>
          <t>Metropolitan</t>
        </is>
      </c>
      <c r="E22" s="5" t="n">
        <v>4512</v>
      </c>
      <c r="F22" s="4" t="n">
        <v>0.4423758865248227</v>
      </c>
      <c r="G22" s="4" t="n">
        <v>0.5300514829565152</v>
      </c>
      <c r="H22" s="3" t="n">
        <v>80367501.49783252</v>
      </c>
      <c r="I22" s="3" t="n">
        <v>3819281.243662626</v>
      </c>
      <c r="J22" s="4" t="n">
        <v>0.0475227072197289</v>
      </c>
      <c r="K22">
        <f>IF(AND(I22&gt;0,J22&gt;=Assumptions!$B$4),1,0)</f>
        <v/>
      </c>
      <c r="L22" s="3">
        <f>I22*K22</f>
        <v/>
      </c>
      <c r="M22">
        <f>SUM($K$2:K22)</f>
        <v/>
      </c>
    </row>
    <row r="23">
      <c r="A23" t="inlineStr">
        <is>
          <t>100006</t>
        </is>
      </c>
      <c r="B23" t="inlineStr">
        <is>
          <t>Orlando Health Orlando Regional Medical Center</t>
        </is>
      </c>
      <c r="C23" t="inlineStr">
        <is>
          <t>FL</t>
        </is>
      </c>
      <c r="D23" t="inlineStr">
        <is>
          <t>Metropolitan</t>
        </is>
      </c>
      <c r="E23" s="5" t="n">
        <v>9994</v>
      </c>
      <c r="F23" s="4" t="n">
        <v>0.4708825295177106</v>
      </c>
      <c r="G23" s="4" t="n">
        <v>0.5022154552762846</v>
      </c>
      <c r="H23" s="3" t="n">
        <v>180911747.9166233</v>
      </c>
      <c r="I23" s="3" t="n">
        <v>3738226.244770974</v>
      </c>
      <c r="J23" s="4" t="n">
        <v>0.0206632586762348</v>
      </c>
      <c r="K23">
        <f>IF(AND(I23&gt;0,J23&gt;=Assumptions!$B$4),1,0)</f>
        <v/>
      </c>
      <c r="L23" s="3">
        <f>I23*K23</f>
        <v/>
      </c>
      <c r="M23">
        <f>SUM($K$2:K23)</f>
        <v/>
      </c>
    </row>
    <row r="24">
      <c r="A24" t="inlineStr">
        <is>
          <t>390133</t>
        </is>
      </c>
      <c r="B24" t="inlineStr">
        <is>
          <t>Lehigh Valley Hospital</t>
        </is>
      </c>
      <c r="C24" t="inlineStr">
        <is>
          <t>PA</t>
        </is>
      </c>
      <c r="D24" t="inlineStr">
        <is>
          <t>Metropolitan</t>
        </is>
      </c>
      <c r="E24" s="5" t="n">
        <v>13114</v>
      </c>
      <c r="F24" s="4" t="n">
        <v>0.4701082812261705</v>
      </c>
      <c r="G24" s="4" t="n">
        <v>0.5113316198845949</v>
      </c>
      <c r="H24" s="3" t="n">
        <v>224220955.6531002</v>
      </c>
      <c r="I24" s="3" t="n">
        <v>3711199.278688848</v>
      </c>
      <c r="J24" s="4" t="n">
        <v>0.0165515273444404</v>
      </c>
      <c r="K24">
        <f>IF(AND(I24&gt;0,J24&gt;=Assumptions!$B$4),1,0)</f>
        <v/>
      </c>
      <c r="L24" s="3">
        <f>I24*K24</f>
        <v/>
      </c>
      <c r="M24">
        <f>SUM($K$2:K24)</f>
        <v/>
      </c>
    </row>
    <row r="25">
      <c r="A25" t="inlineStr">
        <is>
          <t>340047</t>
        </is>
      </c>
      <c r="B25" t="inlineStr">
        <is>
          <t>North Carolina Baptist Hospital</t>
        </is>
      </c>
      <c r="C25" t="inlineStr">
        <is>
          <t>NC</t>
        </is>
      </c>
      <c r="D25" t="inlineStr">
        <is>
          <t>Metropolitan</t>
        </is>
      </c>
      <c r="E25" s="5" t="n">
        <v>4232</v>
      </c>
      <c r="F25" s="4" t="n">
        <v>0.4470699432892249</v>
      </c>
      <c r="G25" s="4" t="n">
        <v>0.5199577544491656</v>
      </c>
      <c r="H25" s="3" t="n">
        <v>92254024.7324865</v>
      </c>
      <c r="I25" s="3" t="n">
        <v>3688969.352847174</v>
      </c>
      <c r="J25" s="4" t="n">
        <v>0.0399870830952281</v>
      </c>
      <c r="K25">
        <f>IF(AND(I25&gt;0,J25&gt;=Assumptions!$B$4),1,0)</f>
        <v/>
      </c>
      <c r="L25" s="3">
        <f>I25*K25</f>
        <v/>
      </c>
      <c r="M25">
        <f>SUM($K$2:K25)</f>
        <v/>
      </c>
    </row>
    <row r="26">
      <c r="A26" t="inlineStr">
        <is>
          <t>180130</t>
        </is>
      </c>
      <c r="B26" t="inlineStr">
        <is>
          <t>Baptist Health Louisville</t>
        </is>
      </c>
      <c r="C26" t="inlineStr">
        <is>
          <t>KY</t>
        </is>
      </c>
      <c r="D26" t="inlineStr">
        <is>
          <t>Metropolitan</t>
        </is>
      </c>
      <c r="E26" s="5" t="n">
        <v>6199</v>
      </c>
      <c r="F26" s="4" t="n">
        <v>0.4891111469591869</v>
      </c>
      <c r="G26" s="4" t="n">
        <v>0.5430598872285942</v>
      </c>
      <c r="H26" s="3" t="n">
        <v>103235115.3874596</v>
      </c>
      <c r="I26" s="3" t="n">
        <v>3608575.492922947</v>
      </c>
      <c r="J26" s="4" t="n">
        <v>0.0349549228417029</v>
      </c>
      <c r="K26">
        <f>IF(AND(I26&gt;0,J26&gt;=Assumptions!$B$4),1,0)</f>
        <v/>
      </c>
      <c r="L26" s="3">
        <f>I26*K26</f>
        <v/>
      </c>
      <c r="M26">
        <f>SUM($K$2:K26)</f>
        <v/>
      </c>
    </row>
    <row r="27">
      <c r="A27" t="inlineStr">
        <is>
          <t>210005</t>
        </is>
      </c>
      <c r="B27" t="inlineStr">
        <is>
          <t>Frederick Health Hospital</t>
        </is>
      </c>
      <c r="C27" t="inlineStr">
        <is>
          <t>MD</t>
        </is>
      </c>
      <c r="D27" t="inlineStr">
        <is>
          <t>Metropolitan</t>
        </is>
      </c>
      <c r="E27" s="5" t="n">
        <v>4317</v>
      </c>
      <c r="F27" s="4" t="n">
        <v>0.4547139217048876</v>
      </c>
      <c r="G27" s="4" t="n">
        <v>0.5695640463139593</v>
      </c>
      <c r="H27" s="3" t="n">
        <v>59592469.50606649</v>
      </c>
      <c r="I27" s="3" t="n">
        <v>3588185.829944082</v>
      </c>
      <c r="J27" s="4" t="n">
        <v>0.0602120680630428</v>
      </c>
      <c r="K27">
        <f>IF(AND(I27&gt;0,J27&gt;=Assumptions!$B$4),1,0)</f>
        <v/>
      </c>
      <c r="L27" s="3">
        <f>I27*K27</f>
        <v/>
      </c>
      <c r="M27">
        <f>SUM($K$2:K27)</f>
        <v/>
      </c>
    </row>
    <row r="28">
      <c r="A28" t="inlineStr">
        <is>
          <t>030087</t>
        </is>
      </c>
      <c r="B28" t="inlineStr">
        <is>
          <t>Honorhealth Scottsdale Shea Medical Center</t>
        </is>
      </c>
      <c r="C28" t="inlineStr">
        <is>
          <t>AZ</t>
        </is>
      </c>
      <c r="D28" t="inlineStr">
        <is>
          <t>Metropolitan</t>
        </is>
      </c>
      <c r="E28" s="5" t="n">
        <v>4447</v>
      </c>
      <c r="F28" s="4" t="n">
        <v>0.3959973015516078</v>
      </c>
      <c r="G28" s="4" t="n">
        <v>0.4760958911806755</v>
      </c>
      <c r="H28" s="3" t="n">
        <v>83408738.63204497</v>
      </c>
      <c r="I28" s="3" t="n">
        <v>3506208.316016778</v>
      </c>
      <c r="J28" s="4" t="n">
        <v>0.0420364625280368</v>
      </c>
      <c r="K28">
        <f>IF(AND(I28&gt;0,J28&gt;=Assumptions!$B$4),1,0)</f>
        <v/>
      </c>
      <c r="L28" s="3">
        <f>I28*K28</f>
        <v/>
      </c>
      <c r="M28">
        <f>SUM($K$2:K28)</f>
        <v/>
      </c>
    </row>
    <row r="29">
      <c r="A29" t="inlineStr">
        <is>
          <t>510022</t>
        </is>
      </c>
      <c r="B29" t="inlineStr">
        <is>
          <t>Charleston Area Medical Center</t>
        </is>
      </c>
      <c r="C29" t="inlineStr">
        <is>
          <t>WV</t>
        </is>
      </c>
      <c r="D29" t="inlineStr">
        <is>
          <t>Metropolitan</t>
        </is>
      </c>
      <c r="E29" s="5" t="n">
        <v>5878</v>
      </c>
      <c r="F29" s="4" t="n">
        <v>0.5005103776794828</v>
      </c>
      <c r="G29" s="4" t="n">
        <v>0.5556369479253748</v>
      </c>
      <c r="H29" s="3" t="n">
        <v>107308439.0748693</v>
      </c>
      <c r="I29" s="3" t="n">
        <v>3454907.899088651</v>
      </c>
      <c r="J29" s="4" t="n">
        <v>0.0321960502722265</v>
      </c>
      <c r="K29">
        <f>IF(AND(I29&gt;0,J29&gt;=Assumptions!$B$4),1,0)</f>
        <v/>
      </c>
      <c r="L29" s="3">
        <f>I29*K29</f>
        <v/>
      </c>
      <c r="M29">
        <f>SUM($K$2:K29)</f>
        <v/>
      </c>
    </row>
    <row r="30">
      <c r="A30" t="inlineStr">
        <is>
          <t>100012</t>
        </is>
      </c>
      <c r="B30" t="inlineStr">
        <is>
          <t>Lee Memorial Hospital</t>
        </is>
      </c>
      <c r="C30" t="inlineStr">
        <is>
          <t>FL</t>
        </is>
      </c>
      <c r="D30" t="inlineStr">
        <is>
          <t>Metropolitan</t>
        </is>
      </c>
      <c r="E30" s="5" t="n">
        <v>5758</v>
      </c>
      <c r="F30" s="4" t="n">
        <v>0.4833275442862105</v>
      </c>
      <c r="G30" s="4" t="n">
        <v>0.5363473407647171</v>
      </c>
      <c r="H30" s="3" t="n">
        <v>98466330.93297558</v>
      </c>
      <c r="I30" s="3" t="n">
        <v>3396901.231737047</v>
      </c>
      <c r="J30" s="4" t="n">
        <v>0.0344980989902961</v>
      </c>
      <c r="K30">
        <f>IF(AND(I30&gt;0,J30&gt;=Assumptions!$B$4),1,0)</f>
        <v/>
      </c>
      <c r="L30" s="3">
        <f>I30*K30</f>
        <v/>
      </c>
      <c r="M30">
        <f>SUM($K$2:K30)</f>
        <v/>
      </c>
    </row>
    <row r="31">
      <c r="A31" t="inlineStr">
        <is>
          <t>340141</t>
        </is>
      </c>
      <c r="B31" t="inlineStr">
        <is>
          <t>Novant Health New Hanover Regional Medical Center</t>
        </is>
      </c>
      <c r="C31" t="inlineStr">
        <is>
          <t>NC</t>
        </is>
      </c>
      <c r="D31" t="inlineStr">
        <is>
          <t>Metropolitan</t>
        </is>
      </c>
      <c r="E31" s="5" t="n">
        <v>8005</v>
      </c>
      <c r="F31" s="4" t="n">
        <v>0.4898188632104934</v>
      </c>
      <c r="G31" s="4" t="n">
        <v>0.4960068817756314</v>
      </c>
      <c r="H31" s="3" t="n">
        <v>145217098.5630839</v>
      </c>
      <c r="I31" s="3" t="n">
        <v>3260923.227213055</v>
      </c>
      <c r="J31" s="4" t="n">
        <v>0.0224555046167409</v>
      </c>
      <c r="K31">
        <f>IF(AND(I31&gt;0,J31&gt;=Assumptions!$B$4),1,0)</f>
        <v/>
      </c>
      <c r="L31" s="3">
        <f>I31*K31</f>
        <v/>
      </c>
      <c r="M31">
        <f>SUM($K$2:K31)</f>
        <v/>
      </c>
    </row>
    <row r="32">
      <c r="A32" t="inlineStr">
        <is>
          <t>050396</t>
        </is>
      </c>
      <c r="B32" t="inlineStr">
        <is>
          <t>Santa Barbara Cottage Hospital</t>
        </is>
      </c>
      <c r="C32" t="inlineStr">
        <is>
          <t>CA</t>
        </is>
      </c>
      <c r="D32" t="inlineStr">
        <is>
          <t>Metropolitan</t>
        </is>
      </c>
      <c r="E32" s="5" t="n">
        <v>4259</v>
      </c>
      <c r="F32" s="4" t="n">
        <v>0.4785160835876966</v>
      </c>
      <c r="G32" s="4" t="n">
        <v>0.5471986210476734</v>
      </c>
      <c r="H32" s="3" t="n">
        <v>80042024.02151747</v>
      </c>
      <c r="I32" s="3" t="n">
        <v>3244002.555907369</v>
      </c>
      <c r="J32" s="4" t="n">
        <v>0.0405287421896689</v>
      </c>
      <c r="K32">
        <f>IF(AND(I32&gt;0,J32&gt;=Assumptions!$B$4),1,0)</f>
        <v/>
      </c>
      <c r="L32" s="3">
        <f>I32*K32</f>
        <v/>
      </c>
      <c r="M32">
        <f>SUM($K$2:K32)</f>
        <v/>
      </c>
    </row>
    <row r="33">
      <c r="A33" t="inlineStr">
        <is>
          <t>100212</t>
        </is>
      </c>
      <c r="B33" t="inlineStr">
        <is>
          <t>Hca Florida Ocala Hospital</t>
        </is>
      </c>
      <c r="C33" t="inlineStr">
        <is>
          <t>FL</t>
        </is>
      </c>
      <c r="D33" t="inlineStr">
        <is>
          <t>Metropolitan</t>
        </is>
      </c>
      <c r="E33" s="5" t="n">
        <v>7552</v>
      </c>
      <c r="F33" s="4" t="n">
        <v>0.4633209745762712</v>
      </c>
      <c r="G33" s="4" t="n">
        <v>0.5041316147955734</v>
      </c>
      <c r="H33" s="3" t="n">
        <v>122020331.0292271</v>
      </c>
      <c r="I33" s="3" t="n">
        <v>3222277.590239048</v>
      </c>
      <c r="J33" s="4" t="n">
        <v>0.0264077106090396</v>
      </c>
      <c r="K33">
        <f>IF(AND(I33&gt;0,J33&gt;=Assumptions!$B$4),1,0)</f>
        <v/>
      </c>
      <c r="L33" s="3">
        <f>I33*K33</f>
        <v/>
      </c>
      <c r="M33">
        <f>SUM($K$2:K33)</f>
        <v/>
      </c>
    </row>
    <row r="34">
      <c r="A34" t="inlineStr">
        <is>
          <t>210019</t>
        </is>
      </c>
      <c r="B34" t="inlineStr">
        <is>
          <t>Tidalhealth Peninsula Regional, Inc</t>
        </is>
      </c>
      <c r="C34" t="inlineStr">
        <is>
          <t>MD</t>
        </is>
      </c>
      <c r="D34" t="inlineStr">
        <is>
          <t>Metropolitan</t>
        </is>
      </c>
      <c r="E34" s="5" t="n">
        <v>4795</v>
      </c>
      <c r="F34" s="4" t="n">
        <v>0.4821689259645464</v>
      </c>
      <c r="G34" s="4" t="n">
        <v>0.5405678458505029</v>
      </c>
      <c r="H34" s="3" t="n">
        <v>85047719.39400071</v>
      </c>
      <c r="I34" s="3" t="n">
        <v>3218413.279987291</v>
      </c>
      <c r="J34" s="4" t="n">
        <v>0.0378424407252749</v>
      </c>
      <c r="K34">
        <f>IF(AND(I34&gt;0,J34&gt;=Assumptions!$B$4),1,0)</f>
        <v/>
      </c>
      <c r="L34" s="3">
        <f>I34*K34</f>
        <v/>
      </c>
      <c r="M34">
        <f>SUM($K$2:K34)</f>
        <v/>
      </c>
    </row>
    <row r="35">
      <c r="A35" t="inlineStr">
        <is>
          <t>390179</t>
        </is>
      </c>
      <c r="B35" t="inlineStr">
        <is>
          <t>Chester County Hospital</t>
        </is>
      </c>
      <c r="C35" t="inlineStr">
        <is>
          <t>PA</t>
        </is>
      </c>
      <c r="D35" t="inlineStr">
        <is>
          <t>Metropolitan</t>
        </is>
      </c>
      <c r="E35" s="5" t="n">
        <v>4351</v>
      </c>
      <c r="F35" s="4" t="n">
        <v>0.4782808549758676</v>
      </c>
      <c r="G35" s="4" t="n">
        <v>0.5563791510436984</v>
      </c>
      <c r="H35" s="3" t="n">
        <v>62598458.66312468</v>
      </c>
      <c r="I35" s="3" t="n">
        <v>3005085.508383833</v>
      </c>
      <c r="J35" s="4" t="n">
        <v>0.0480057428339535</v>
      </c>
      <c r="K35">
        <f>IF(AND(I35&gt;0,J35&gt;=Assumptions!$B$4),1,0)</f>
        <v/>
      </c>
      <c r="L35" s="3">
        <f>I35*K35</f>
        <v/>
      </c>
      <c r="M35">
        <f>SUM($K$2:K35)</f>
        <v/>
      </c>
    </row>
    <row r="36">
      <c r="A36" t="inlineStr">
        <is>
          <t>450229</t>
        </is>
      </c>
      <c r="B36" t="inlineStr">
        <is>
          <t>Hendrick Medical Center</t>
        </is>
      </c>
      <c r="C36" t="inlineStr">
        <is>
          <t>TX</t>
        </is>
      </c>
      <c r="D36" t="inlineStr">
        <is>
          <t>Metropolitan</t>
        </is>
      </c>
      <c r="E36" s="5" t="n">
        <v>4875</v>
      </c>
      <c r="F36" s="4" t="n">
        <v>0.4615384615384615</v>
      </c>
      <c r="G36" s="4" t="n">
        <v>0.5128991012101779</v>
      </c>
      <c r="H36" s="3" t="n">
        <v>84168918.82045516</v>
      </c>
      <c r="I36" s="3" t="n">
        <v>2992249.122216657</v>
      </c>
      <c r="J36" s="4" t="n">
        <v>0.0355505234491555</v>
      </c>
      <c r="K36">
        <f>IF(AND(I36&gt;0,J36&gt;=Assumptions!$B$4),1,0)</f>
        <v/>
      </c>
      <c r="L36" s="3">
        <f>I36*K36</f>
        <v/>
      </c>
      <c r="M36">
        <f>SUM($K$2:K36)</f>
        <v/>
      </c>
    </row>
    <row r="37">
      <c r="A37" t="inlineStr">
        <is>
          <t>100002</t>
        </is>
      </c>
      <c r="B37" t="inlineStr">
        <is>
          <t>Bethesda Hospital East</t>
        </is>
      </c>
      <c r="C37" t="inlineStr">
        <is>
          <t>FL</t>
        </is>
      </c>
      <c r="D37" t="inlineStr">
        <is>
          <t>Metropolitan</t>
        </is>
      </c>
      <c r="E37" s="5" t="n">
        <v>3457</v>
      </c>
      <c r="F37" s="4" t="n">
        <v>0.4344807636679201</v>
      </c>
      <c r="G37" s="4" t="n">
        <v>0.5417212779384367</v>
      </c>
      <c r="H37" s="3" t="n">
        <v>55276364.45384847</v>
      </c>
      <c r="I37" s="3" t="n">
        <v>2972348.62566708</v>
      </c>
      <c r="J37" s="4" t="n">
        <v>0.0537725057542227</v>
      </c>
      <c r="K37">
        <f>IF(AND(I37&gt;0,J37&gt;=Assumptions!$B$4),1,0)</f>
        <v/>
      </c>
      <c r="L37" s="3">
        <f>I37*K37</f>
        <v/>
      </c>
      <c r="M37">
        <f>SUM($K$2:K37)</f>
        <v/>
      </c>
    </row>
    <row r="38">
      <c r="A38" t="inlineStr">
        <is>
          <t>040134</t>
        </is>
      </c>
      <c r="B38" t="inlineStr">
        <is>
          <t>Arkansas Heart Hospital, Llc</t>
        </is>
      </c>
      <c r="C38" t="inlineStr">
        <is>
          <t>AR</t>
        </is>
      </c>
      <c r="D38" t="inlineStr">
        <is>
          <t>Metropolitan</t>
        </is>
      </c>
      <c r="E38" s="5" t="n">
        <v>1573</v>
      </c>
      <c r="F38" s="4" t="n">
        <v>0.3140495867768595</v>
      </c>
      <c r="G38" s="4" t="n">
        <v>0.4571212101700548</v>
      </c>
      <c r="H38" s="3" t="n">
        <v>36775782.05193953</v>
      </c>
      <c r="I38" s="3" t="n">
        <v>2946781.495447583</v>
      </c>
      <c r="J38" s="4" t="n">
        <v>0.08012831627307759</v>
      </c>
      <c r="K38">
        <f>IF(AND(I38&gt;0,J38&gt;=Assumptions!$B$4),1,0)</f>
        <v/>
      </c>
      <c r="L38" s="3">
        <f>I38*K38</f>
        <v/>
      </c>
      <c r="M38">
        <f>SUM($K$2:K38)</f>
        <v/>
      </c>
    </row>
    <row r="39">
      <c r="A39" t="inlineStr">
        <is>
          <t>100157</t>
        </is>
      </c>
      <c r="B39" t="inlineStr">
        <is>
          <t>Lakeland Regional Medical Center</t>
        </is>
      </c>
      <c r="C39" t="inlineStr">
        <is>
          <t>FL</t>
        </is>
      </c>
      <c r="D39" t="inlineStr">
        <is>
          <t>Metropolitan</t>
        </is>
      </c>
      <c r="E39" s="5" t="n">
        <v>6912</v>
      </c>
      <c r="F39" s="4" t="n">
        <v>0.4554398148148148</v>
      </c>
      <c r="G39" s="4" t="n">
        <v>0.5206796058387946</v>
      </c>
      <c r="H39" s="3" t="n">
        <v>105442767.7917489</v>
      </c>
      <c r="I39" s="3" t="n">
        <v>2897429.717459202</v>
      </c>
      <c r="J39" s="4" t="n">
        <v>0.0274786955818693</v>
      </c>
      <c r="K39">
        <f>IF(AND(I39&gt;0,J39&gt;=Assumptions!$B$4),1,0)</f>
        <v/>
      </c>
      <c r="L39" s="3">
        <f>I39*K39</f>
        <v/>
      </c>
      <c r="M39">
        <f>SUM($K$2:K39)</f>
        <v/>
      </c>
    </row>
    <row r="40">
      <c r="A40" t="inlineStr">
        <is>
          <t>100286</t>
        </is>
      </c>
      <c r="B40" t="inlineStr">
        <is>
          <t>Physicians Regional Medical Center - Pine Ridge</t>
        </is>
      </c>
      <c r="C40" t="inlineStr">
        <is>
          <t>FL</t>
        </is>
      </c>
      <c r="D40" t="inlineStr">
        <is>
          <t>Metropolitan</t>
        </is>
      </c>
      <c r="E40" s="5" t="n">
        <v>4413</v>
      </c>
      <c r="F40" s="4" t="n">
        <v>0.4287332880126898</v>
      </c>
      <c r="G40" s="4" t="n">
        <v>0.5098931144195684</v>
      </c>
      <c r="H40" s="3" t="n">
        <v>74024995.65191975</v>
      </c>
      <c r="I40" s="3" t="n">
        <v>2879624.940467685</v>
      </c>
      <c r="J40" s="4" t="n">
        <v>0.0389007107005889</v>
      </c>
      <c r="K40">
        <f>IF(AND(I40&gt;0,J40&gt;=Assumptions!$B$4),1,0)</f>
        <v/>
      </c>
      <c r="L40" s="3">
        <f>I40*K40</f>
        <v/>
      </c>
      <c r="M40">
        <f>SUM($K$2:K40)</f>
        <v/>
      </c>
    </row>
    <row r="41">
      <c r="A41" t="inlineStr">
        <is>
          <t>190102</t>
        </is>
      </c>
      <c r="B41" t="inlineStr">
        <is>
          <t>Our Lady Of Lourdes Regional Medical Center, Inc</t>
        </is>
      </c>
      <c r="C41" t="inlineStr">
        <is>
          <t>LA</t>
        </is>
      </c>
      <c r="D41" t="inlineStr">
        <is>
          <t>Metropolitan</t>
        </is>
      </c>
      <c r="E41" s="5" t="n">
        <v>3547</v>
      </c>
      <c r="F41" s="4" t="n">
        <v>0.5054976036086833</v>
      </c>
      <c r="G41" s="4" t="n">
        <v>0.5699813111910597</v>
      </c>
      <c r="H41" s="3" t="n">
        <v>61137372.74195281</v>
      </c>
      <c r="I41" s="3" t="n">
        <v>2789973.194625072</v>
      </c>
      <c r="J41" s="4" t="n">
        <v>0.0456344960455027</v>
      </c>
      <c r="K41">
        <f>IF(AND(I41&gt;0,J41&gt;=Assumptions!$B$4),1,0)</f>
        <v/>
      </c>
      <c r="L41" s="3">
        <f>I41*K41</f>
        <v/>
      </c>
      <c r="M41">
        <f>SUM($K$2:K41)</f>
        <v/>
      </c>
    </row>
    <row r="42">
      <c r="A42" t="inlineStr">
        <is>
          <t>010033</t>
        </is>
      </c>
      <c r="B42" t="inlineStr">
        <is>
          <t>University Of Alabama Hospital</t>
        </is>
      </c>
      <c r="C42" t="inlineStr">
        <is>
          <t>AL</t>
        </is>
      </c>
      <c r="D42" t="inlineStr">
        <is>
          <t>Metropolitan</t>
        </is>
      </c>
      <c r="E42" s="5" t="n">
        <v>6481</v>
      </c>
      <c r="F42" s="4" t="n">
        <v>0.451473538034254</v>
      </c>
      <c r="G42" s="4" t="n">
        <v>0.4920365783477137</v>
      </c>
      <c r="H42" s="3" t="n">
        <v>145904804.8569457</v>
      </c>
      <c r="I42" s="3" t="n">
        <v>2779762.192425996</v>
      </c>
      <c r="J42" s="4" t="n">
        <v>0.0190518893133879</v>
      </c>
      <c r="K42">
        <f>IF(AND(I42&gt;0,J42&gt;=Assumptions!$B$4),1,0)</f>
        <v/>
      </c>
      <c r="L42" s="3">
        <f>I42*K42</f>
        <v/>
      </c>
      <c r="M42">
        <f>SUM($K$2:K42)</f>
        <v/>
      </c>
    </row>
    <row r="43">
      <c r="A43" t="inlineStr">
        <is>
          <t>050308</t>
        </is>
      </c>
      <c r="B43" t="inlineStr">
        <is>
          <t>El Camino Hospital</t>
        </is>
      </c>
      <c r="C43" t="inlineStr">
        <is>
          <t>CA</t>
        </is>
      </c>
      <c r="D43" t="inlineStr">
        <is>
          <t>Metropolitan</t>
        </is>
      </c>
      <c r="E43" s="5" t="n">
        <v>4417</v>
      </c>
      <c r="F43" s="4" t="n">
        <v>0.4795109803033733</v>
      </c>
      <c r="G43" s="4" t="n">
        <v>0.5536418051041218</v>
      </c>
      <c r="H43" s="3" t="n">
        <v>74809866.19728526</v>
      </c>
      <c r="I43" s="3" t="n">
        <v>2757734.912427843</v>
      </c>
      <c r="J43" s="4" t="n">
        <v>0.0368632515015501</v>
      </c>
      <c r="K43">
        <f>IF(AND(I43&gt;0,J43&gt;=Assumptions!$B$4),1,0)</f>
        <v/>
      </c>
      <c r="L43" s="3">
        <f>I43*K43</f>
        <v/>
      </c>
      <c r="M43">
        <f>SUM($K$2:K43)</f>
        <v/>
      </c>
    </row>
    <row r="44">
      <c r="A44" t="inlineStr">
        <is>
          <t>420023</t>
        </is>
      </c>
      <c r="B44" t="inlineStr">
        <is>
          <t>St Francis-Downtown</t>
        </is>
      </c>
      <c r="C44" t="inlineStr">
        <is>
          <t>SC</t>
        </is>
      </c>
      <c r="D44" t="inlineStr">
        <is>
          <t>Metropolitan</t>
        </is>
      </c>
      <c r="E44" s="5" t="n">
        <v>3586</v>
      </c>
      <c r="F44" s="4" t="n">
        <v>0.4983268265476854</v>
      </c>
      <c r="G44" s="4" t="n">
        <v>0.5692962880817617</v>
      </c>
      <c r="H44" s="3" t="n">
        <v>58180615.73466263</v>
      </c>
      <c r="I44" s="3" t="n">
        <v>2725800.493230686</v>
      </c>
      <c r="J44" s="4" t="n">
        <v>0.0468506642429141</v>
      </c>
      <c r="K44">
        <f>IF(AND(I44&gt;0,J44&gt;=Assumptions!$B$4),1,0)</f>
        <v/>
      </c>
      <c r="L44" s="3">
        <f>I44*K44</f>
        <v/>
      </c>
      <c r="M44">
        <f>SUM($K$2:K44)</f>
        <v/>
      </c>
    </row>
    <row r="45">
      <c r="A45" t="inlineStr">
        <is>
          <t>490069</t>
        </is>
      </c>
      <c r="B45" t="inlineStr">
        <is>
          <t>Bon Secours Memorial Regional Medical Center</t>
        </is>
      </c>
      <c r="C45" t="inlineStr">
        <is>
          <t>VA</t>
        </is>
      </c>
      <c r="D45" t="inlineStr">
        <is>
          <t>Metropolitan</t>
        </is>
      </c>
      <c r="E45" s="5" t="n">
        <v>3547</v>
      </c>
      <c r="F45" s="4" t="n">
        <v>0.4806879052720609</v>
      </c>
      <c r="G45" s="4" t="n">
        <v>0.5454965981373673</v>
      </c>
      <c r="H45" s="3" t="n">
        <v>57448693.6726072</v>
      </c>
      <c r="I45" s="3" t="n">
        <v>2722136.957777448</v>
      </c>
      <c r="J45" s="4" t="n">
        <v>0.0473837921065805</v>
      </c>
      <c r="K45">
        <f>IF(AND(I45&gt;0,J45&gt;=Assumptions!$B$4),1,0)</f>
        <v/>
      </c>
      <c r="L45" s="3">
        <f>I45*K45</f>
        <v/>
      </c>
      <c r="M45">
        <f>SUM($K$2:K45)</f>
        <v/>
      </c>
    </row>
    <row r="46">
      <c r="A46" t="inlineStr">
        <is>
          <t>230046</t>
        </is>
      </c>
      <c r="B46" t="inlineStr">
        <is>
          <t>University Of Michigan Health</t>
        </is>
      </c>
      <c r="C46" t="inlineStr">
        <is>
          <t>MI</t>
        </is>
      </c>
      <c r="D46" t="inlineStr">
        <is>
          <t>Metropolitan</t>
        </is>
      </c>
      <c r="E46" s="5" t="n">
        <v>6001</v>
      </c>
      <c r="F46" s="4" t="n">
        <v>0.4844192634560906</v>
      </c>
      <c r="G46" s="4" t="n">
        <v>0.5178992125775996</v>
      </c>
      <c r="H46" s="3" t="n">
        <v>122818307.5881794</v>
      </c>
      <c r="I46" s="3" t="n">
        <v>2694772.764949456</v>
      </c>
      <c r="J46" s="4" t="n">
        <v>0.021941132538524</v>
      </c>
      <c r="K46">
        <f>IF(AND(I46&gt;0,J46&gt;=Assumptions!$B$4),1,0)</f>
        <v/>
      </c>
      <c r="L46" s="3">
        <f>I46*K46</f>
        <v/>
      </c>
      <c r="M46">
        <f>SUM($K$2:K46)</f>
        <v/>
      </c>
    </row>
    <row r="47">
      <c r="A47" t="inlineStr">
        <is>
          <t>470003</t>
        </is>
      </c>
      <c r="B47" t="inlineStr">
        <is>
          <t>University Of Vermont Medical Center</t>
        </is>
      </c>
      <c r="C47" t="inlineStr">
        <is>
          <t>VT</t>
        </is>
      </c>
      <c r="D47" t="inlineStr">
        <is>
          <t>Metropolitan</t>
        </is>
      </c>
      <c r="E47" s="5" t="n">
        <v>4325</v>
      </c>
      <c r="F47" s="4" t="n">
        <v>0.4772254335260115</v>
      </c>
      <c r="G47" s="4" t="n">
        <v>0.5192800222211084</v>
      </c>
      <c r="H47" s="3" t="n">
        <v>82213787.79563017</v>
      </c>
      <c r="I47" s="3" t="n">
        <v>2693378.29097423</v>
      </c>
      <c r="J47" s="4" t="n">
        <v>0.0327606641561087</v>
      </c>
      <c r="K47">
        <f>IF(AND(I47&gt;0,J47&gt;=Assumptions!$B$4),1,0)</f>
        <v/>
      </c>
      <c r="L47" s="3">
        <f>I47*K47</f>
        <v/>
      </c>
      <c r="M47">
        <f>SUM($K$2:K47)</f>
        <v/>
      </c>
    </row>
    <row r="48">
      <c r="A48" t="inlineStr">
        <is>
          <t>350011</t>
        </is>
      </c>
      <c r="B48" t="inlineStr">
        <is>
          <t>Sanford</t>
        </is>
      </c>
      <c r="C48" t="inlineStr">
        <is>
          <t>ND</t>
        </is>
      </c>
      <c r="D48" t="inlineStr">
        <is>
          <t>Metropolitan</t>
        </is>
      </c>
      <c r="E48" s="5" t="n">
        <v>5401</v>
      </c>
      <c r="F48" s="4" t="n">
        <v>0.4660248102203295</v>
      </c>
      <c r="G48" s="4" t="n">
        <v>0.510624524420937</v>
      </c>
      <c r="H48" s="3" t="n">
        <v>101712431.6382437</v>
      </c>
      <c r="I48" s="3" t="n">
        <v>2682482.717882931</v>
      </c>
      <c r="J48" s="4" t="n">
        <v>0.0263732040880076</v>
      </c>
      <c r="K48">
        <f>IF(AND(I48&gt;0,J48&gt;=Assumptions!$B$4),1,0)</f>
        <v/>
      </c>
      <c r="L48" s="3">
        <f>I48*K48</f>
        <v/>
      </c>
      <c r="M48">
        <f>SUM($K$2:K48)</f>
        <v/>
      </c>
    </row>
    <row r="49">
      <c r="A49" t="inlineStr">
        <is>
          <t>030038</t>
        </is>
      </c>
      <c r="B49" t="inlineStr">
        <is>
          <t>Honorhealth Scottsdale Osborn Medical Center</t>
        </is>
      </c>
      <c r="C49" t="inlineStr">
        <is>
          <t>AZ</t>
        </is>
      </c>
      <c r="D49" t="inlineStr">
        <is>
          <t>Metropolitan</t>
        </is>
      </c>
      <c r="E49" s="5" t="n">
        <v>2956</v>
      </c>
      <c r="F49" s="4" t="n">
        <v>0.4062922868741542</v>
      </c>
      <c r="G49" s="4" t="n">
        <v>0.4808579201517775</v>
      </c>
      <c r="H49" s="3" t="n">
        <v>50853475.8965862</v>
      </c>
      <c r="I49" s="3" t="n">
        <v>2658569.927169472</v>
      </c>
      <c r="J49" s="4" t="n">
        <v>0.0522790208593773</v>
      </c>
      <c r="K49">
        <f>IF(AND(I49&gt;0,J49&gt;=Assumptions!$B$4),1,0)</f>
        <v/>
      </c>
      <c r="L49" s="3">
        <f>I49*K49</f>
        <v/>
      </c>
      <c r="M49">
        <f>SUM($K$2:K49)</f>
        <v/>
      </c>
    </row>
    <row r="50">
      <c r="A50" t="inlineStr">
        <is>
          <t>030012</t>
        </is>
      </c>
      <c r="B50" t="inlineStr">
        <is>
          <t>Yavapai Regional Medical Center</t>
        </is>
      </c>
      <c r="C50" t="inlineStr">
        <is>
          <t>AZ</t>
        </is>
      </c>
      <c r="D50" t="inlineStr">
        <is>
          <t>Metropolitan</t>
        </is>
      </c>
      <c r="E50" s="5" t="n">
        <v>2685</v>
      </c>
      <c r="F50" s="4" t="n">
        <v>0.4294227188081936</v>
      </c>
      <c r="G50" s="4" t="n">
        <v>0.5376499807154566</v>
      </c>
      <c r="H50" s="3" t="n">
        <v>39584435.2296564</v>
      </c>
      <c r="I50" s="3" t="n">
        <v>2646749.635905303</v>
      </c>
      <c r="J50" s="4" t="n">
        <v>0.06686339265799029</v>
      </c>
      <c r="K50">
        <f>IF(AND(I50&gt;0,J50&gt;=Assumptions!$B$4),1,0)</f>
        <v/>
      </c>
      <c r="L50" s="3">
        <f>I50*K50</f>
        <v/>
      </c>
      <c r="M50">
        <f>SUM($K$2:K50)</f>
        <v/>
      </c>
    </row>
    <row r="51">
      <c r="A51" t="inlineStr">
        <is>
          <t>220100</t>
        </is>
      </c>
      <c r="B51" t="inlineStr">
        <is>
          <t>South Shore Hospital</t>
        </is>
      </c>
      <c r="C51" t="inlineStr">
        <is>
          <t>MA</t>
        </is>
      </c>
      <c r="D51" t="inlineStr">
        <is>
          <t>Metropolitan</t>
        </is>
      </c>
      <c r="E51" s="5" t="n">
        <v>9723</v>
      </c>
      <c r="F51" s="4" t="n">
        <v>0.4952175254551064</v>
      </c>
      <c r="G51" s="4" t="n">
        <v>0.5296119243166246</v>
      </c>
      <c r="H51" s="3" t="n">
        <v>133190425.5150748</v>
      </c>
      <c r="I51" s="3" t="n">
        <v>2597150.629290551</v>
      </c>
      <c r="J51" s="4" t="n">
        <v>0.0194995294837961</v>
      </c>
      <c r="K51">
        <f>IF(AND(I51&gt;0,J51&gt;=Assumptions!$B$4),1,0)</f>
        <v/>
      </c>
      <c r="L51" s="3">
        <f>I51*K51</f>
        <v/>
      </c>
      <c r="M51">
        <f>SUM($K$2:K51)</f>
        <v/>
      </c>
    </row>
    <row r="52">
      <c r="A52" t="inlineStr">
        <is>
          <t>390153</t>
        </is>
      </c>
      <c r="B52" t="inlineStr">
        <is>
          <t>Paoli Hospital</t>
        </is>
      </c>
      <c r="C52" t="inlineStr">
        <is>
          <t>PA</t>
        </is>
      </c>
      <c r="D52" t="inlineStr">
        <is>
          <t>Metropolitan</t>
        </is>
      </c>
      <c r="E52" s="5" t="n">
        <v>3816</v>
      </c>
      <c r="F52" s="4" t="n">
        <v>0.4567610062893081</v>
      </c>
      <c r="G52" s="4" t="n">
        <v>0.5281848412009388</v>
      </c>
      <c r="H52" s="3" t="n">
        <v>59465208.89151505</v>
      </c>
      <c r="I52" s="3" t="n">
        <v>2578991.672444634</v>
      </c>
      <c r="J52" s="4" t="n">
        <v>0.0433697572163514</v>
      </c>
      <c r="K52">
        <f>IF(AND(I52&gt;0,J52&gt;=Assumptions!$B$4),1,0)</f>
        <v/>
      </c>
      <c r="L52" s="3">
        <f>I52*K52</f>
        <v/>
      </c>
      <c r="M52">
        <f>SUM($K$2:K52)</f>
        <v/>
      </c>
    </row>
    <row r="53">
      <c r="A53" t="inlineStr">
        <is>
          <t>210001</t>
        </is>
      </c>
      <c r="B53" t="inlineStr">
        <is>
          <t>Meritus Medical Center</t>
        </is>
      </c>
      <c r="C53" t="inlineStr">
        <is>
          <t>MD</t>
        </is>
      </c>
      <c r="D53" t="inlineStr">
        <is>
          <t>Metropolitan</t>
        </is>
      </c>
      <c r="E53" s="5" t="n">
        <v>4181</v>
      </c>
      <c r="F53" s="4" t="n">
        <v>0.4845730686438651</v>
      </c>
      <c r="G53" s="4" t="n">
        <v>0.5640402446239682</v>
      </c>
      <c r="H53" s="3" t="n">
        <v>59648061.35885572</v>
      </c>
      <c r="I53" s="3" t="n">
        <v>2547664.386090159</v>
      </c>
      <c r="J53" s="4" t="n">
        <v>0.0427116041670299</v>
      </c>
      <c r="K53">
        <f>IF(AND(I53&gt;0,J53&gt;=Assumptions!$B$4),1,0)</f>
        <v/>
      </c>
      <c r="L53" s="3">
        <f>I53*K53</f>
        <v/>
      </c>
      <c r="M53">
        <f>SUM($K$2:K53)</f>
        <v/>
      </c>
    </row>
    <row r="54">
      <c r="A54" t="inlineStr">
        <is>
          <t>490005</t>
        </is>
      </c>
      <c r="B54" t="inlineStr">
        <is>
          <t>Winchester Medical Center</t>
        </is>
      </c>
      <c r="C54" t="inlineStr">
        <is>
          <t>VA</t>
        </is>
      </c>
      <c r="D54" t="inlineStr">
        <is>
          <t>Metropolitan</t>
        </is>
      </c>
      <c r="E54" s="5" t="n">
        <v>5829</v>
      </c>
      <c r="F54" s="4" t="n">
        <v>0.4824155086635787</v>
      </c>
      <c r="G54" s="4" t="n">
        <v>0.524473669183103</v>
      </c>
      <c r="H54" s="3" t="n">
        <v>91842520.51881692</v>
      </c>
      <c r="I54" s="3" t="n">
        <v>2528149.207434833</v>
      </c>
      <c r="J54" s="4" t="n">
        <v>0.0275270015800237</v>
      </c>
      <c r="K54">
        <f>IF(AND(I54&gt;0,J54&gt;=Assumptions!$B$4),1,0)</f>
        <v/>
      </c>
      <c r="L54" s="3">
        <f>I54*K54</f>
        <v/>
      </c>
      <c r="M54">
        <f>SUM($K$2:K54)</f>
        <v/>
      </c>
    </row>
    <row r="55">
      <c r="A55" t="inlineStr">
        <is>
          <t>460021</t>
        </is>
      </c>
      <c r="B55" t="inlineStr">
        <is>
          <t>St George Regional Hospital</t>
        </is>
      </c>
      <c r="C55" t="inlineStr">
        <is>
          <t>UT</t>
        </is>
      </c>
      <c r="D55" t="inlineStr">
        <is>
          <t>Metropolitan</t>
        </is>
      </c>
      <c r="E55" s="5" t="n">
        <v>3529</v>
      </c>
      <c r="F55" s="4" t="n">
        <v>0.4803060357041654</v>
      </c>
      <c r="G55" s="4" t="n">
        <v>0.5172611295876235</v>
      </c>
      <c r="H55" s="3" t="n">
        <v>68715396.25089449</v>
      </c>
      <c r="I55" s="3" t="n">
        <v>2470354.831114717</v>
      </c>
      <c r="J55" s="4" t="n">
        <v>0.0359505287882635</v>
      </c>
      <c r="K55">
        <f>IF(AND(I55&gt;0,J55&gt;=Assumptions!$B$4),1,0)</f>
        <v/>
      </c>
      <c r="L55" s="3">
        <f>I55*K55</f>
        <v/>
      </c>
      <c r="M55">
        <f>SUM($K$2:K55)</f>
        <v/>
      </c>
    </row>
    <row r="56">
      <c r="A56" t="inlineStr">
        <is>
          <t>140242</t>
        </is>
      </c>
      <c r="B56" t="inlineStr">
        <is>
          <t>Northwestern Medicine Central Dupage Hospital</t>
        </is>
      </c>
      <c r="C56" t="inlineStr">
        <is>
          <t>IL</t>
        </is>
      </c>
      <c r="D56" t="inlineStr">
        <is>
          <t>Metropolitan</t>
        </is>
      </c>
      <c r="E56" s="5" t="n">
        <v>4993</v>
      </c>
      <c r="F56" s="4" t="n">
        <v>0.5031043460845184</v>
      </c>
      <c r="G56" s="4" t="n">
        <v>0.5615203986971316</v>
      </c>
      <c r="H56" s="3" t="n">
        <v>85843123.65286694</v>
      </c>
      <c r="I56" s="3" t="n">
        <v>2450880.889342815</v>
      </c>
      <c r="J56" s="4" t="n">
        <v>0.0285506955601208</v>
      </c>
      <c r="K56">
        <f>IF(AND(I56&gt;0,J56&gt;=Assumptions!$B$4),1,0)</f>
        <v/>
      </c>
      <c r="L56" s="3">
        <f>I56*K56</f>
        <v/>
      </c>
      <c r="M56">
        <f>SUM($K$2:K56)</f>
        <v/>
      </c>
    </row>
    <row r="57">
      <c r="A57" t="inlineStr">
        <is>
          <t>490032</t>
        </is>
      </c>
      <c r="B57" t="inlineStr">
        <is>
          <t>Medical College Of Virginia Hospitals</t>
        </is>
      </c>
      <c r="C57" t="inlineStr">
        <is>
          <t>VA</t>
        </is>
      </c>
      <c r="D57" t="inlineStr">
        <is>
          <t>Metropolitan</t>
        </is>
      </c>
      <c r="E57" s="5" t="n">
        <v>4804</v>
      </c>
      <c r="F57" s="4" t="n">
        <v>0.5035387177352206</v>
      </c>
      <c r="G57" s="4" t="n">
        <v>0.540659659705197</v>
      </c>
      <c r="H57" s="3" t="n">
        <v>98880462.39706516</v>
      </c>
      <c r="I57" s="3" t="n">
        <v>2416123.888703957</v>
      </c>
      <c r="J57" s="4" t="n">
        <v>0.0244347956121175</v>
      </c>
      <c r="K57">
        <f>IF(AND(I57&gt;0,J57&gt;=Assumptions!$B$4),1,0)</f>
        <v/>
      </c>
      <c r="L57" s="3">
        <f>I57*K57</f>
        <v/>
      </c>
      <c r="M57">
        <f>SUM($K$2:K57)</f>
        <v/>
      </c>
    </row>
    <row r="58">
      <c r="A58" t="inlineStr">
        <is>
          <t>390067</t>
        </is>
      </c>
      <c r="B58" t="inlineStr">
        <is>
          <t>Upmc Pinnacle Hospitals</t>
        </is>
      </c>
      <c r="C58" t="inlineStr">
        <is>
          <t>PA</t>
        </is>
      </c>
      <c r="D58" t="inlineStr">
        <is>
          <t>Metropolitan</t>
        </is>
      </c>
      <c r="E58" s="5" t="n">
        <v>5431</v>
      </c>
      <c r="F58" s="4" t="n">
        <v>0.4813109924507457</v>
      </c>
      <c r="G58" s="4" t="n">
        <v>0.5157042353060538</v>
      </c>
      <c r="H58" s="3" t="n">
        <v>96809282.95001236</v>
      </c>
      <c r="I58" s="3" t="n">
        <v>2368141.334601447</v>
      </c>
      <c r="J58" s="4" t="n">
        <v>0.0244619241299849</v>
      </c>
      <c r="K58">
        <f>IF(AND(I58&gt;0,J58&gt;=Assumptions!$B$4),1,0)</f>
        <v/>
      </c>
      <c r="L58" s="3">
        <f>I58*K58</f>
        <v/>
      </c>
      <c r="M58">
        <f>SUM($K$2:K58)</f>
        <v/>
      </c>
    </row>
    <row r="59">
      <c r="A59" t="inlineStr">
        <is>
          <t>230038</t>
        </is>
      </c>
      <c r="B59" t="inlineStr">
        <is>
          <t>Corewell Health Grand Rapids Hospitals Butterworth</t>
        </is>
      </c>
      <c r="C59" t="inlineStr">
        <is>
          <t>MI</t>
        </is>
      </c>
      <c r="D59" t="inlineStr">
        <is>
          <t>Metropolitan</t>
        </is>
      </c>
      <c r="E59" s="5" t="n">
        <v>5851</v>
      </c>
      <c r="F59" s="4" t="n">
        <v>0.492223551529653</v>
      </c>
      <c r="G59" s="4" t="n">
        <v>0.5201313248796713</v>
      </c>
      <c r="H59" s="3" t="n">
        <v>110052123.6073401</v>
      </c>
      <c r="I59" s="3" t="n">
        <v>2339637.748345062</v>
      </c>
      <c r="J59" s="4" t="n">
        <v>0.0212593603072373</v>
      </c>
      <c r="K59">
        <f>IF(AND(I59&gt;0,J59&gt;=Assumptions!$B$4),1,0)</f>
        <v/>
      </c>
      <c r="L59" s="3">
        <f>I59*K59</f>
        <v/>
      </c>
      <c r="M59">
        <f>SUM($K$2:K59)</f>
        <v/>
      </c>
    </row>
    <row r="60">
      <c r="A60" t="inlineStr">
        <is>
          <t>100051</t>
        </is>
      </c>
      <c r="B60" t="inlineStr">
        <is>
          <t>Orlando Health South Lake Hospital</t>
        </is>
      </c>
      <c r="C60" t="inlineStr">
        <is>
          <t>FL</t>
        </is>
      </c>
      <c r="D60" t="inlineStr">
        <is>
          <t>Metropolitan</t>
        </is>
      </c>
      <c r="E60" s="5" t="n">
        <v>2979</v>
      </c>
      <c r="F60" s="4" t="n">
        <v>0.4911043974488083</v>
      </c>
      <c r="G60" s="4" t="n">
        <v>0.5809870299295077</v>
      </c>
      <c r="H60" s="3" t="n">
        <v>41878890.30845088</v>
      </c>
      <c r="I60" s="3" t="n">
        <v>2309158.782822713</v>
      </c>
      <c r="J60" s="4" t="n">
        <v>0.055138967766697</v>
      </c>
      <c r="K60">
        <f>IF(AND(I60&gt;0,J60&gt;=Assumptions!$B$4),1,0)</f>
        <v/>
      </c>
      <c r="L60" s="3">
        <f>I60*K60</f>
        <v/>
      </c>
      <c r="M60">
        <f>SUM($K$2:K60)</f>
        <v/>
      </c>
    </row>
    <row r="61">
      <c r="A61" t="inlineStr">
        <is>
          <t>260137</t>
        </is>
      </c>
      <c r="B61" t="inlineStr">
        <is>
          <t>Freeman Health System - Freeman West</t>
        </is>
      </c>
      <c r="C61" t="inlineStr">
        <is>
          <t>MO</t>
        </is>
      </c>
      <c r="D61" t="inlineStr">
        <is>
          <t>Metropolitan</t>
        </is>
      </c>
      <c r="E61" s="5" t="n">
        <v>2219</v>
      </c>
      <c r="F61" s="4" t="n">
        <v>0.4105452906714736</v>
      </c>
      <c r="G61" s="4" t="n">
        <v>0.5344924278055431</v>
      </c>
      <c r="H61" s="3" t="n">
        <v>38366869.01971954</v>
      </c>
      <c r="I61" s="3" t="n">
        <v>2265398.428344533</v>
      </c>
      <c r="J61" s="4" t="n">
        <v>0.0590456945334835</v>
      </c>
      <c r="K61">
        <f>IF(AND(I61&gt;0,J61&gt;=Assumptions!$B$4),1,0)</f>
        <v/>
      </c>
      <c r="L61" s="3">
        <f>I61*K61</f>
        <v/>
      </c>
      <c r="M61">
        <f>SUM($K$2:K61)</f>
        <v/>
      </c>
    </row>
    <row r="62">
      <c r="A62" t="inlineStr">
        <is>
          <t>210033</t>
        </is>
      </c>
      <c r="B62" t="inlineStr">
        <is>
          <t>Carroll Hospital Center</t>
        </is>
      </c>
      <c r="C62" t="inlineStr">
        <is>
          <t>MD</t>
        </is>
      </c>
      <c r="D62" t="inlineStr">
        <is>
          <t>Metropolitan</t>
        </is>
      </c>
      <c r="E62" s="5" t="n">
        <v>3163</v>
      </c>
      <c r="F62" s="4" t="n">
        <v>0.5030034777110338</v>
      </c>
      <c r="G62" s="4" t="n">
        <v>0.6154475729106613</v>
      </c>
      <c r="H62" s="3" t="n">
        <v>42361911.31992577</v>
      </c>
      <c r="I62" s="3" t="n">
        <v>2263897.47838261</v>
      </c>
      <c r="J62" s="4" t="n">
        <v>0.0534418161939199</v>
      </c>
      <c r="K62">
        <f>IF(AND(I62&gt;0,J62&gt;=Assumptions!$B$4),1,0)</f>
        <v/>
      </c>
      <c r="L62" s="3">
        <f>I62*K62</f>
        <v/>
      </c>
      <c r="M62">
        <f>SUM($K$2:K62)</f>
        <v/>
      </c>
    </row>
    <row r="63">
      <c r="A63" t="inlineStr">
        <is>
          <t>340173</t>
        </is>
      </c>
      <c r="B63" t="inlineStr">
        <is>
          <t>Wakemed</t>
        </is>
      </c>
      <c r="C63" t="inlineStr">
        <is>
          <t>NC</t>
        </is>
      </c>
      <c r="D63" t="inlineStr">
        <is>
          <t>Metropolitan</t>
        </is>
      </c>
      <c r="E63" s="5" t="n">
        <v>2097</v>
      </c>
      <c r="F63" s="4" t="n">
        <v>0.4306151645207439</v>
      </c>
      <c r="G63" s="4" t="n">
        <v>0.5567775485938259</v>
      </c>
      <c r="H63" s="3" t="n">
        <v>28916659.27119973</v>
      </c>
      <c r="I63" s="3" t="n">
        <v>2262975.815940823</v>
      </c>
      <c r="J63" s="4" t="n">
        <v>0.0782585496725996</v>
      </c>
      <c r="K63">
        <f>IF(AND(I63&gt;0,J63&gt;=Assumptions!$B$4),1,0)</f>
        <v/>
      </c>
      <c r="L63" s="3">
        <f>I63*K63</f>
        <v/>
      </c>
      <c r="M63">
        <f>SUM($K$2:K63)</f>
        <v/>
      </c>
    </row>
    <row r="64">
      <c r="A64" t="inlineStr">
        <is>
          <t>370215</t>
        </is>
      </c>
      <c r="B64" t="inlineStr">
        <is>
          <t>Oklahoma Heart Hospital, Llc</t>
        </is>
      </c>
      <c r="C64" t="inlineStr">
        <is>
          <t>OK</t>
        </is>
      </c>
      <c r="D64" t="inlineStr">
        <is>
          <t>Metropolitan</t>
        </is>
      </c>
      <c r="E64" s="5" t="n">
        <v>1797</v>
      </c>
      <c r="F64" s="4" t="n">
        <v>0.4368391764051196</v>
      </c>
      <c r="G64" s="4" t="n">
        <v>0.5049575717127419</v>
      </c>
      <c r="H64" s="3" t="n">
        <v>46708495.81948828</v>
      </c>
      <c r="I64" s="3" t="n">
        <v>2243904.164264075</v>
      </c>
      <c r="J64" s="4" t="n">
        <v>0.048040599999965</v>
      </c>
      <c r="K64">
        <f>IF(AND(I64&gt;0,J64&gt;=Assumptions!$B$4),1,0)</f>
        <v/>
      </c>
      <c r="L64" s="3">
        <f>I64*K64</f>
        <v/>
      </c>
      <c r="M64">
        <f>SUM($K$2:K64)</f>
        <v/>
      </c>
    </row>
    <row r="65">
      <c r="A65" t="inlineStr">
        <is>
          <t>230156</t>
        </is>
      </c>
      <c r="B65" t="inlineStr">
        <is>
          <t>Trinity Health Ann Arbor Hospital</t>
        </is>
      </c>
      <c r="C65" t="inlineStr">
        <is>
          <t>MI</t>
        </is>
      </c>
      <c r="D65" t="inlineStr">
        <is>
          <t>Metropolitan</t>
        </is>
      </c>
      <c r="E65" s="5" t="n">
        <v>5986</v>
      </c>
      <c r="F65" s="4" t="n">
        <v>0.4819579017707985</v>
      </c>
      <c r="G65" s="4" t="n">
        <v>0.522351378735268</v>
      </c>
      <c r="H65" s="3" t="n">
        <v>98083421.38557684</v>
      </c>
      <c r="I65" s="3" t="n">
        <v>2237539.404476315</v>
      </c>
      <c r="J65" s="4" t="n">
        <v>0.0228126157598061</v>
      </c>
      <c r="K65">
        <f>IF(AND(I65&gt;0,J65&gt;=Assumptions!$B$4),1,0)</f>
        <v/>
      </c>
      <c r="L65" s="3">
        <f>I65*K65</f>
        <v/>
      </c>
      <c r="M65">
        <f>SUM($K$2:K65)</f>
        <v/>
      </c>
    </row>
    <row r="66">
      <c r="A66" t="inlineStr">
        <is>
          <t>190036</t>
        </is>
      </c>
      <c r="B66" t="inlineStr">
        <is>
          <t>Ochsner Medical Center</t>
        </is>
      </c>
      <c r="C66" t="inlineStr">
        <is>
          <t>LA</t>
        </is>
      </c>
      <c r="D66" t="inlineStr">
        <is>
          <t>Metropolitan</t>
        </is>
      </c>
      <c r="E66" s="5" t="n">
        <v>4174</v>
      </c>
      <c r="F66" s="4" t="n">
        <v>0.5340201245807379</v>
      </c>
      <c r="G66" s="4" t="n">
        <v>0.5717849584145023</v>
      </c>
      <c r="H66" s="3" t="n">
        <v>75330547.98334441</v>
      </c>
      <c r="I66" s="3" t="n">
        <v>2219904.282324195</v>
      </c>
      <c r="J66" s="4" t="n">
        <v>0.0294688455314969</v>
      </c>
      <c r="K66">
        <f>IF(AND(I66&gt;0,J66&gt;=Assumptions!$B$4),1,0)</f>
        <v/>
      </c>
      <c r="L66" s="3">
        <f>I66*K66</f>
        <v/>
      </c>
      <c r="M66">
        <f>SUM($K$2:K66)</f>
        <v/>
      </c>
    </row>
    <row r="67">
      <c r="A67" t="inlineStr">
        <is>
          <t>330286</t>
        </is>
      </c>
      <c r="B67" t="inlineStr">
        <is>
          <t>Good Samaritan Hospital Medical Center</t>
        </is>
      </c>
      <c r="C67" t="inlineStr">
        <is>
          <t>NY</t>
        </is>
      </c>
      <c r="D67" t="inlineStr">
        <is>
          <t>Metropolitan</t>
        </is>
      </c>
      <c r="E67" s="5" t="n">
        <v>4958</v>
      </c>
      <c r="F67" s="4" t="n">
        <v>0.472166196046793</v>
      </c>
      <c r="G67" s="4" t="n">
        <v>0.519846268745221</v>
      </c>
      <c r="H67" s="3" t="n">
        <v>82771932.58554204</v>
      </c>
      <c r="I67" s="3" t="n">
        <v>2187011.591993839</v>
      </c>
      <c r="J67" s="4" t="n">
        <v>0.0264221400138704</v>
      </c>
      <c r="K67">
        <f>IF(AND(I67&gt;0,J67&gt;=Assumptions!$B$4),1,0)</f>
        <v/>
      </c>
      <c r="L67" s="3">
        <f>I67*K67</f>
        <v/>
      </c>
      <c r="M67">
        <f>SUM($K$2:K67)</f>
        <v/>
      </c>
    </row>
    <row r="68">
      <c r="A68" t="inlineStr">
        <is>
          <t>420004</t>
        </is>
      </c>
      <c r="B68" t="inlineStr">
        <is>
          <t>Musc Medical Center</t>
        </is>
      </c>
      <c r="C68" t="inlineStr">
        <is>
          <t>SC</t>
        </is>
      </c>
      <c r="D68" t="inlineStr">
        <is>
          <t>Metropolitan</t>
        </is>
      </c>
      <c r="E68" s="5" t="n">
        <v>6531</v>
      </c>
      <c r="F68" s="4" t="n">
        <v>0.4575103353238401</v>
      </c>
      <c r="G68" s="4" t="n">
        <v>0.501469447656924</v>
      </c>
      <c r="H68" s="3" t="n">
        <v>137978154.9779847</v>
      </c>
      <c r="I68" s="3" t="n">
        <v>2164476.752809256</v>
      </c>
      <c r="J68" s="4" t="n">
        <v>0.0156870973753389</v>
      </c>
      <c r="K68">
        <f>IF(AND(I68&gt;0,J68&gt;=Assumptions!$B$4),1,0)</f>
        <v/>
      </c>
      <c r="L68" s="3">
        <f>I68*K68</f>
        <v/>
      </c>
      <c r="M68">
        <f>SUM($K$2:K68)</f>
        <v/>
      </c>
    </row>
    <row r="69">
      <c r="A69" t="inlineStr">
        <is>
          <t>280040</t>
        </is>
      </c>
      <c r="B69" t="inlineStr">
        <is>
          <t>Methodist Hospital</t>
        </is>
      </c>
      <c r="C69" t="inlineStr">
        <is>
          <t>NE</t>
        </is>
      </c>
      <c r="D69" t="inlineStr">
        <is>
          <t>Metropolitan</t>
        </is>
      </c>
      <c r="E69" s="5" t="n">
        <v>3880</v>
      </c>
      <c r="F69" s="4" t="n">
        <v>0.4141752577319588</v>
      </c>
      <c r="G69" s="4" t="n">
        <v>0.4776314504763785</v>
      </c>
      <c r="H69" s="3" t="n">
        <v>75010577.36717933</v>
      </c>
      <c r="I69" s="3" t="n">
        <v>2159411.527653262</v>
      </c>
      <c r="J69" s="4" t="n">
        <v>0.0287880936722146</v>
      </c>
      <c r="K69">
        <f>IF(AND(I69&gt;0,J69&gt;=Assumptions!$B$4),1,0)</f>
        <v/>
      </c>
      <c r="L69" s="3">
        <f>I69*K69</f>
        <v/>
      </c>
      <c r="M69">
        <f>SUM($K$2:K69)</f>
        <v/>
      </c>
    </row>
    <row r="70">
      <c r="A70" t="inlineStr">
        <is>
          <t>210063</t>
        </is>
      </c>
      <c r="B70" t="inlineStr">
        <is>
          <t>University Of Md St Joseph Medical Center</t>
        </is>
      </c>
      <c r="C70" t="inlineStr">
        <is>
          <t>MD</t>
        </is>
      </c>
      <c r="D70" t="inlineStr">
        <is>
          <t>Metropolitan</t>
        </is>
      </c>
      <c r="E70" s="5" t="n">
        <v>3227</v>
      </c>
      <c r="F70" s="4" t="n">
        <v>0.4561512240471025</v>
      </c>
      <c r="G70" s="4" t="n">
        <v>0.5201608945135558</v>
      </c>
      <c r="H70" s="3" t="n">
        <v>60489096.21561852</v>
      </c>
      <c r="I70" s="3" t="n">
        <v>2157789.665148012</v>
      </c>
      <c r="J70" s="4" t="n">
        <v>0.0356723740334355</v>
      </c>
      <c r="K70">
        <f>IF(AND(I70&gt;0,J70&gt;=Assumptions!$B$4),1,0)</f>
        <v/>
      </c>
      <c r="L70" s="3">
        <f>I70*K70</f>
        <v/>
      </c>
      <c r="M70">
        <f>SUM($K$2:K70)</f>
        <v/>
      </c>
    </row>
    <row r="71">
      <c r="A71" t="inlineStr">
        <is>
          <t>360180</t>
        </is>
      </c>
      <c r="B71" t="inlineStr">
        <is>
          <t>Cleveland Clinic</t>
        </is>
      </c>
      <c r="C71" t="inlineStr">
        <is>
          <t>OH</t>
        </is>
      </c>
      <c r="D71" t="inlineStr">
        <is>
          <t>Metropolitan</t>
        </is>
      </c>
      <c r="E71" s="5" t="n">
        <v>8536</v>
      </c>
      <c r="F71" s="4" t="n">
        <v>0.4451733833177132</v>
      </c>
      <c r="G71" s="4" t="n">
        <v>0.4752353538179489</v>
      </c>
      <c r="H71" s="3" t="n">
        <v>196454663.6749748</v>
      </c>
      <c r="I71" s="3" t="n">
        <v>2151426.537130028</v>
      </c>
      <c r="J71" s="4" t="n">
        <v>0.010951262224497</v>
      </c>
      <c r="K71">
        <f>IF(AND(I71&gt;0,J71&gt;=Assumptions!$B$4),1,0)</f>
        <v/>
      </c>
      <c r="L71" s="3">
        <f>I71*K71</f>
        <v/>
      </c>
      <c r="M71">
        <f>SUM($K$2:K71)</f>
        <v/>
      </c>
    </row>
    <row r="72">
      <c r="A72" t="inlineStr">
        <is>
          <t>180013</t>
        </is>
      </c>
      <c r="B72" t="inlineStr">
        <is>
          <t>The Medical Center At Bowling Green</t>
        </is>
      </c>
      <c r="C72" t="inlineStr">
        <is>
          <t>KY</t>
        </is>
      </c>
      <c r="D72" t="inlineStr">
        <is>
          <t>Metropolitan</t>
        </is>
      </c>
      <c r="E72" s="5" t="n">
        <v>2241</v>
      </c>
      <c r="F72" s="4" t="n">
        <v>0.4962070504239179</v>
      </c>
      <c r="G72" s="4" t="n">
        <v>0.570497177455451</v>
      </c>
      <c r="H72" s="3" t="n">
        <v>38683001.47102822</v>
      </c>
      <c r="I72" s="3" t="n">
        <v>2149334.709113799</v>
      </c>
      <c r="J72" s="4" t="n">
        <v>0.0555627698828786</v>
      </c>
      <c r="K72">
        <f>IF(AND(I72&gt;0,J72&gt;=Assumptions!$B$4),1,0)</f>
        <v/>
      </c>
      <c r="L72" s="3">
        <f>I72*K72</f>
        <v/>
      </c>
      <c r="M72">
        <f>SUM($K$2:K72)</f>
        <v/>
      </c>
    </row>
    <row r="73">
      <c r="A73" t="inlineStr">
        <is>
          <t>050394</t>
        </is>
      </c>
      <c r="B73" t="inlineStr">
        <is>
          <t>Community Memorial Hospital - Ventura</t>
        </is>
      </c>
      <c r="C73" t="inlineStr">
        <is>
          <t>CA</t>
        </is>
      </c>
      <c r="D73" t="inlineStr">
        <is>
          <t>Metropolitan</t>
        </is>
      </c>
      <c r="E73" s="5" t="n">
        <v>1928</v>
      </c>
      <c r="F73" s="4" t="n">
        <v>0.4024896265560166</v>
      </c>
      <c r="G73" s="4" t="n">
        <v>0.53128301772769</v>
      </c>
      <c r="H73" s="3" t="n">
        <v>34716723.96722302</v>
      </c>
      <c r="I73" s="3" t="n">
        <v>2134849.856866941</v>
      </c>
      <c r="J73" s="4" t="n">
        <v>0.0614934133440272</v>
      </c>
      <c r="K73">
        <f>IF(AND(I73&gt;0,J73&gt;=Assumptions!$B$4),1,0)</f>
        <v/>
      </c>
      <c r="L73" s="3">
        <f>I73*K73</f>
        <v/>
      </c>
      <c r="M73">
        <f>SUM($K$2:K73)</f>
        <v/>
      </c>
    </row>
    <row r="74">
      <c r="A74" t="inlineStr">
        <is>
          <t>210048</t>
        </is>
      </c>
      <c r="B74" t="inlineStr">
        <is>
          <t>Johns Hopkins Howard County Medical Center</t>
        </is>
      </c>
      <c r="C74" t="inlineStr">
        <is>
          <t>MD</t>
        </is>
      </c>
      <c r="D74" t="inlineStr">
        <is>
          <t>Metropolitan</t>
        </is>
      </c>
      <c r="E74" s="5" t="n">
        <v>4100</v>
      </c>
      <c r="F74" s="4" t="n">
        <v>0.5219512195121951</v>
      </c>
      <c r="G74" s="4" t="n">
        <v>0.5899536510824663</v>
      </c>
      <c r="H74" s="3" t="n">
        <v>56097837.97204957</v>
      </c>
      <c r="I74" s="3" t="n">
        <v>2127952.851632476</v>
      </c>
      <c r="J74" s="4" t="n">
        <v>0.0379328852689958</v>
      </c>
      <c r="K74">
        <f>IF(AND(I74&gt;0,J74&gt;=Assumptions!$B$4),1,0)</f>
        <v/>
      </c>
      <c r="L74" s="3">
        <f>I74*K74</f>
        <v/>
      </c>
      <c r="M74">
        <f>SUM($K$2:K74)</f>
        <v/>
      </c>
    </row>
    <row r="75">
      <c r="A75" t="inlineStr">
        <is>
          <t>340017</t>
        </is>
      </c>
      <c r="B75" t="inlineStr">
        <is>
          <t>Margaret R Pardee Memorial Hospital</t>
        </is>
      </c>
      <c r="C75" t="inlineStr">
        <is>
          <t>NC</t>
        </is>
      </c>
      <c r="D75" t="inlineStr">
        <is>
          <t>Metropolitan</t>
        </is>
      </c>
      <c r="E75" s="5" t="n">
        <v>1414</v>
      </c>
      <c r="F75" s="4" t="n">
        <v>0.384016973125884</v>
      </c>
      <c r="G75" s="4" t="n">
        <v>0.5505736939599248</v>
      </c>
      <c r="H75" s="3" t="n">
        <v>22498653.93522971</v>
      </c>
      <c r="I75" s="3" t="n">
        <v>2121117.686200194</v>
      </c>
      <c r="J75" s="4" t="n">
        <v>0.0942775373276364</v>
      </c>
      <c r="K75">
        <f>IF(AND(I75&gt;0,J75&gt;=Assumptions!$B$4),1,0)</f>
        <v/>
      </c>
      <c r="L75" s="3">
        <f>I75*K75</f>
        <v/>
      </c>
      <c r="M75">
        <f>SUM($K$2:K75)</f>
        <v/>
      </c>
    </row>
    <row r="76">
      <c r="A76" t="inlineStr">
        <is>
          <t>260068</t>
        </is>
      </c>
      <c r="B76" t="inlineStr">
        <is>
          <t>Boone Hospital Center</t>
        </is>
      </c>
      <c r="C76" t="inlineStr">
        <is>
          <t>MO</t>
        </is>
      </c>
      <c r="D76" t="inlineStr">
        <is>
          <t>Metropolitan</t>
        </is>
      </c>
      <c r="E76" s="5" t="n">
        <v>2918</v>
      </c>
      <c r="F76" s="4" t="n">
        <v>0.544893762851268</v>
      </c>
      <c r="G76" s="4" t="n">
        <v>0.5502359634185681</v>
      </c>
      <c r="H76" s="3" t="n">
        <v>57663240.79663298</v>
      </c>
      <c r="I76" s="3" t="n">
        <v>2112344.634722933</v>
      </c>
      <c r="J76" s="4" t="n">
        <v>0.0366324300462535</v>
      </c>
      <c r="K76">
        <f>IF(AND(I76&gt;0,J76&gt;=Assumptions!$B$4),1,0)</f>
        <v/>
      </c>
      <c r="L76" s="3">
        <f>I76*K76</f>
        <v/>
      </c>
      <c r="M76">
        <f>SUM($K$2:K76)</f>
        <v/>
      </c>
    </row>
    <row r="77">
      <c r="A77" t="inlineStr">
        <is>
          <t>390256</t>
        </is>
      </c>
      <c r="B77" t="inlineStr">
        <is>
          <t>Milton S Hershey Medical Center</t>
        </is>
      </c>
      <c r="C77" t="inlineStr">
        <is>
          <t>PA</t>
        </is>
      </c>
      <c r="D77" t="inlineStr">
        <is>
          <t>Metropolitan</t>
        </is>
      </c>
      <c r="E77" s="5" t="n">
        <v>3328</v>
      </c>
      <c r="F77" s="4" t="n">
        <v>0.4705528846153846</v>
      </c>
      <c r="G77" s="4" t="n">
        <v>0.5266543773407754</v>
      </c>
      <c r="H77" s="3" t="n">
        <v>61514170.49766228</v>
      </c>
      <c r="I77" s="3" t="n">
        <v>2107660.258487239</v>
      </c>
      <c r="J77" s="4" t="n">
        <v>0.034263003815801</v>
      </c>
      <c r="K77">
        <f>IF(AND(I77&gt;0,J77&gt;=Assumptions!$B$4),1,0)</f>
        <v/>
      </c>
      <c r="L77" s="3">
        <f>I77*K77</f>
        <v/>
      </c>
      <c r="M77">
        <f>SUM($K$2:K77)</f>
        <v/>
      </c>
    </row>
    <row r="78">
      <c r="A78" t="inlineStr">
        <is>
          <t>670025</t>
        </is>
      </c>
      <c r="B78" t="inlineStr">
        <is>
          <t>Baylor Sott &amp; White The Heart Hospital Plano</t>
        </is>
      </c>
      <c r="C78" t="inlineStr">
        <is>
          <t>TX</t>
        </is>
      </c>
      <c r="D78" t="inlineStr">
        <is>
          <t>Metropolitan</t>
        </is>
      </c>
      <c r="E78" s="5" t="n">
        <v>2286</v>
      </c>
      <c r="F78" s="4" t="n">
        <v>0.3193350831146107</v>
      </c>
      <c r="G78" s="4" t="n">
        <v>0.3982223079840273</v>
      </c>
      <c r="H78" s="3" t="n">
        <v>65568381.20438472</v>
      </c>
      <c r="I78" s="3" t="n">
        <v>2087169.924099997</v>
      </c>
      <c r="J78" s="4" t="n">
        <v>0.0318319575039382</v>
      </c>
      <c r="K78">
        <f>IF(AND(I78&gt;0,J78&gt;=Assumptions!$B$4),1,0)</f>
        <v/>
      </c>
      <c r="L78" s="3">
        <f>I78*K78</f>
        <v/>
      </c>
      <c r="M78">
        <f>SUM($K$2:K78)</f>
        <v/>
      </c>
    </row>
    <row r="79">
      <c r="A79" t="inlineStr">
        <is>
          <t>260108</t>
        </is>
      </c>
      <c r="B79" t="inlineStr">
        <is>
          <t>Missouri Baptist Medical Center</t>
        </is>
      </c>
      <c r="C79" t="inlineStr">
        <is>
          <t>MO</t>
        </is>
      </c>
      <c r="D79" t="inlineStr">
        <is>
          <t>Metropolitan</t>
        </is>
      </c>
      <c r="E79" s="5" t="n">
        <v>4366</v>
      </c>
      <c r="F79" s="4" t="n">
        <v>0.4734310581768209</v>
      </c>
      <c r="G79" s="4" t="n">
        <v>0.5251045474367813</v>
      </c>
      <c r="H79" s="3" t="n">
        <v>71820310.26578058</v>
      </c>
      <c r="I79" s="3" t="n">
        <v>2069638.118135676</v>
      </c>
      <c r="J79" s="4" t="n">
        <v>0.028816891913676</v>
      </c>
      <c r="K79">
        <f>IF(AND(I79&gt;0,J79&gt;=Assumptions!$B$4),1,0)</f>
        <v/>
      </c>
      <c r="L79" s="3">
        <f>I79*K79</f>
        <v/>
      </c>
      <c r="M79">
        <f>SUM($K$2:K79)</f>
        <v/>
      </c>
    </row>
    <row r="80">
      <c r="A80" t="inlineStr">
        <is>
          <t>210049</t>
        </is>
      </c>
      <c r="B80" t="inlineStr">
        <is>
          <t>University Of Md Upper Chesapeake Medical Center</t>
        </is>
      </c>
      <c r="C80" t="inlineStr">
        <is>
          <t>MD</t>
        </is>
      </c>
      <c r="D80" t="inlineStr">
        <is>
          <t>Metropolitan</t>
        </is>
      </c>
      <c r="E80" s="5" t="n">
        <v>3940</v>
      </c>
      <c r="F80" s="4" t="n">
        <v>0.5137055837563452</v>
      </c>
      <c r="G80" s="4" t="n">
        <v>0.5823770590564407</v>
      </c>
      <c r="H80" s="3" t="n">
        <v>57557986.23104791</v>
      </c>
      <c r="I80" s="3" t="n">
        <v>2056988.157821</v>
      </c>
      <c r="J80" s="4" t="n">
        <v>0.0357376672207378</v>
      </c>
      <c r="K80">
        <f>IF(AND(I80&gt;0,J80&gt;=Assumptions!$B$4),1,0)</f>
        <v/>
      </c>
      <c r="L80" s="3">
        <f>I80*K80</f>
        <v/>
      </c>
      <c r="M80">
        <f>SUM($K$2:K80)</f>
        <v/>
      </c>
    </row>
    <row r="81">
      <c r="A81" t="inlineStr">
        <is>
          <t>340073</t>
        </is>
      </c>
      <c r="B81" t="inlineStr">
        <is>
          <t>Duke Health Raleigh Hospital</t>
        </is>
      </c>
      <c r="C81" t="inlineStr">
        <is>
          <t>NC</t>
        </is>
      </c>
      <c r="D81" t="inlineStr">
        <is>
          <t>Metropolitan</t>
        </is>
      </c>
      <c r="E81" s="5" t="n">
        <v>1862</v>
      </c>
      <c r="F81" s="4" t="n">
        <v>0.4559613319011815</v>
      </c>
      <c r="G81" s="4" t="n">
        <v>0.4844152769160429</v>
      </c>
      <c r="H81" s="3" t="n">
        <v>35978087.96322429</v>
      </c>
      <c r="I81" s="3" t="n">
        <v>2055595.574463181</v>
      </c>
      <c r="J81" s="4" t="n">
        <v>0.0571346530856322</v>
      </c>
      <c r="K81">
        <f>IF(AND(I81&gt;0,J81&gt;=Assumptions!$B$4),1,0)</f>
        <v/>
      </c>
      <c r="L81" s="3">
        <f>I81*K81</f>
        <v/>
      </c>
      <c r="M81">
        <f>SUM($K$2:K81)</f>
        <v/>
      </c>
    </row>
    <row r="82">
      <c r="A82" t="inlineStr">
        <is>
          <t>310041</t>
        </is>
      </c>
      <c r="B82" t="inlineStr">
        <is>
          <t>Community Medical Center</t>
        </is>
      </c>
      <c r="C82" t="inlineStr">
        <is>
          <t>NJ</t>
        </is>
      </c>
      <c r="D82" t="inlineStr">
        <is>
          <t>Metropolitan</t>
        </is>
      </c>
      <c r="E82" s="5" t="n">
        <v>6596</v>
      </c>
      <c r="F82" s="4" t="n">
        <v>0.5497271073377805</v>
      </c>
      <c r="G82" s="4" t="n">
        <v>0.5794678477154732</v>
      </c>
      <c r="H82" s="3" t="n">
        <v>93534326.05158776</v>
      </c>
      <c r="I82" s="3" t="n">
        <v>2054700.816987425</v>
      </c>
      <c r="J82" s="4" t="n">
        <v>0.0219673450777223</v>
      </c>
      <c r="K82">
        <f>IF(AND(I82&gt;0,J82&gt;=Assumptions!$B$4),1,0)</f>
        <v/>
      </c>
      <c r="L82" s="3">
        <f>I82*K82</f>
        <v/>
      </c>
      <c r="M82">
        <f>SUM($K$2:K82)</f>
        <v/>
      </c>
    </row>
    <row r="83">
      <c r="A83" t="inlineStr">
        <is>
          <t>450571</t>
        </is>
      </c>
      <c r="B83" t="inlineStr">
        <is>
          <t>Shannon Medical Center</t>
        </is>
      </c>
      <c r="C83" t="inlineStr">
        <is>
          <t>TX</t>
        </is>
      </c>
      <c r="D83" t="inlineStr">
        <is>
          <t>Metropolitan</t>
        </is>
      </c>
      <c r="E83" s="5" t="n">
        <v>2907</v>
      </c>
      <c r="F83" s="4" t="n">
        <v>0.4678362573099415</v>
      </c>
      <c r="G83" s="4" t="n">
        <v>0.547386917734199</v>
      </c>
      <c r="H83" s="3" t="n">
        <v>44049096.60825104</v>
      </c>
      <c r="I83" s="3" t="n">
        <v>2051909.369017385</v>
      </c>
      <c r="J83" s="4" t="n">
        <v>0.046582325791286</v>
      </c>
      <c r="K83">
        <f>IF(AND(I83&gt;0,J83&gt;=Assumptions!$B$4),1,0)</f>
        <v/>
      </c>
      <c r="L83" s="3">
        <f>I83*K83</f>
        <v/>
      </c>
      <c r="M83">
        <f>SUM($K$2:K83)</f>
        <v/>
      </c>
    </row>
    <row r="84">
      <c r="A84" t="inlineStr">
        <is>
          <t>520083</t>
        </is>
      </c>
      <c r="B84" t="inlineStr">
        <is>
          <t>Ssm Health St Mary's Hospital - Madison</t>
        </is>
      </c>
      <c r="C84" t="inlineStr">
        <is>
          <t>WI</t>
        </is>
      </c>
      <c r="D84" t="inlineStr">
        <is>
          <t>Metropolitan</t>
        </is>
      </c>
      <c r="E84" s="5" t="n">
        <v>4630</v>
      </c>
      <c r="F84" s="4" t="n">
        <v>0.4922246220302376</v>
      </c>
      <c r="G84" s="4" t="n">
        <v>0.5191330535971185</v>
      </c>
      <c r="H84" s="3" t="n">
        <v>85774131.94695817</v>
      </c>
      <c r="I84" s="3" t="n">
        <v>2045230.184657633</v>
      </c>
      <c r="J84" s="4" t="n">
        <v>0.0238443705372895</v>
      </c>
      <c r="K84">
        <f>IF(AND(I84&gt;0,J84&gt;=Assumptions!$B$4),1,0)</f>
        <v/>
      </c>
      <c r="L84" s="3">
        <f>I84*K84</f>
        <v/>
      </c>
      <c r="M84">
        <f>SUM($K$2:K84)</f>
        <v/>
      </c>
    </row>
    <row r="85">
      <c r="A85" t="inlineStr">
        <is>
          <t>210016</t>
        </is>
      </c>
      <c r="B85" t="inlineStr">
        <is>
          <t>Adventist Healthcare White Oak Medical Center</t>
        </is>
      </c>
      <c r="C85" t="inlineStr">
        <is>
          <t>MD</t>
        </is>
      </c>
      <c r="D85" t="inlineStr">
        <is>
          <t>Metropolitan</t>
        </is>
      </c>
      <c r="E85" s="5" t="n">
        <v>2455</v>
      </c>
      <c r="F85" s="4" t="n">
        <v>0.539714867617108</v>
      </c>
      <c r="G85" s="4" t="n">
        <v>0.6336957449318114</v>
      </c>
      <c r="H85" s="3" t="n">
        <v>39382924.24312547</v>
      </c>
      <c r="I85" s="3" t="n">
        <v>2038840.712603174</v>
      </c>
      <c r="J85" s="4" t="n">
        <v>0.0517696629132121</v>
      </c>
      <c r="K85">
        <f>IF(AND(I85&gt;0,J85&gt;=Assumptions!$B$4),1,0)</f>
        <v/>
      </c>
      <c r="L85" s="3">
        <f>I85*K85</f>
        <v/>
      </c>
      <c r="M85">
        <f>SUM($K$2:K85)</f>
        <v/>
      </c>
    </row>
    <row r="86">
      <c r="A86" t="inlineStr">
        <is>
          <t>210057</t>
        </is>
      </c>
      <c r="B86" t="inlineStr">
        <is>
          <t>Adventist Healthcare Shady Grove Medical Center</t>
        </is>
      </c>
      <c r="C86" t="inlineStr">
        <is>
          <t>MD</t>
        </is>
      </c>
      <c r="D86" t="inlineStr">
        <is>
          <t>Metropolitan</t>
        </is>
      </c>
      <c r="E86" s="5" t="n">
        <v>2943</v>
      </c>
      <c r="F86" s="4" t="n">
        <v>0.5161399932042134</v>
      </c>
      <c r="G86" s="4" t="n">
        <v>0.5913866555629221</v>
      </c>
      <c r="H86" s="3" t="n">
        <v>45592521.22234671</v>
      </c>
      <c r="I86" s="3" t="n">
        <v>2024106.135997072</v>
      </c>
      <c r="J86" s="4" t="n">
        <v>0.0443955736978409</v>
      </c>
      <c r="K86">
        <f>IF(AND(I86&gt;0,J86&gt;=Assumptions!$B$4),1,0)</f>
        <v/>
      </c>
      <c r="L86" s="3">
        <f>I86*K86</f>
        <v/>
      </c>
      <c r="M86">
        <f>SUM($K$2:K86)</f>
        <v/>
      </c>
    </row>
    <row r="87">
      <c r="A87" t="inlineStr">
        <is>
          <t>420087</t>
        </is>
      </c>
      <c r="B87" t="inlineStr">
        <is>
          <t>Roper Hospital</t>
        </is>
      </c>
      <c r="C87" t="inlineStr">
        <is>
          <t>SC</t>
        </is>
      </c>
      <c r="D87" t="inlineStr">
        <is>
          <t>Metropolitan</t>
        </is>
      </c>
      <c r="E87" s="5" t="n">
        <v>3044</v>
      </c>
      <c r="F87" s="4" t="n">
        <v>0.5088699080157687</v>
      </c>
      <c r="G87" s="4" t="n">
        <v>0.5205625394880693</v>
      </c>
      <c r="H87" s="3" t="n">
        <v>59424386.73616053</v>
      </c>
      <c r="I87" s="3" t="n">
        <v>2020463.667303964</v>
      </c>
      <c r="J87" s="4" t="n">
        <v>0.0340005808772526</v>
      </c>
      <c r="K87">
        <f>IF(AND(I87&gt;0,J87&gt;=Assumptions!$B$4),1,0)</f>
        <v/>
      </c>
      <c r="L87" s="3">
        <f>I87*K87</f>
        <v/>
      </c>
      <c r="M87">
        <f>SUM($K$2:K87)</f>
        <v/>
      </c>
    </row>
    <row r="88">
      <c r="A88" t="inlineStr">
        <is>
          <t>100168</t>
        </is>
      </c>
      <c r="B88" t="inlineStr">
        <is>
          <t>Boca Raton Regional Hospital</t>
        </is>
      </c>
      <c r="C88" t="inlineStr">
        <is>
          <t>FL</t>
        </is>
      </c>
      <c r="D88" t="inlineStr">
        <is>
          <t>Metropolitan</t>
        </is>
      </c>
      <c r="E88" s="5" t="n">
        <v>6284</v>
      </c>
      <c r="F88" s="4" t="n">
        <v>0.4696053469127944</v>
      </c>
      <c r="G88" s="4" t="n">
        <v>0.522097419333446</v>
      </c>
      <c r="H88" s="3" t="n">
        <v>102644788.9329794</v>
      </c>
      <c r="I88" s="3" t="n">
        <v>2011165.118126631</v>
      </c>
      <c r="J88" s="4" t="n">
        <v>0.0195934458927066</v>
      </c>
      <c r="K88">
        <f>IF(AND(I88&gt;0,J88&gt;=Assumptions!$B$4),1,0)</f>
        <v/>
      </c>
      <c r="L88" s="3">
        <f>I88*K88</f>
        <v/>
      </c>
      <c r="M88">
        <f>SUM($K$2:K88)</f>
        <v/>
      </c>
    </row>
    <row r="89">
      <c r="A89" t="inlineStr">
        <is>
          <t>190041</t>
        </is>
      </c>
      <c r="B89" t="inlineStr">
        <is>
          <t>Christus Shreveport-Bossier Health System</t>
        </is>
      </c>
      <c r="C89" t="inlineStr">
        <is>
          <t>LA</t>
        </is>
      </c>
      <c r="D89" t="inlineStr">
        <is>
          <t>Metropolitan</t>
        </is>
      </c>
      <c r="E89" s="5" t="n">
        <v>2402</v>
      </c>
      <c r="F89" s="4" t="n">
        <v>0.4850124895920066</v>
      </c>
      <c r="G89" s="4" t="n">
        <v>0.5578066171380919</v>
      </c>
      <c r="H89" s="3" t="n">
        <v>36469044.58078264</v>
      </c>
      <c r="I89" s="3" t="n">
        <v>2000273.180118092</v>
      </c>
      <c r="J89" s="4" t="n">
        <v>0.0548485216191305</v>
      </c>
      <c r="K89">
        <f>IF(AND(I89&gt;0,J89&gt;=Assumptions!$B$4),1,0)</f>
        <v/>
      </c>
      <c r="L89" s="3">
        <f>I89*K89</f>
        <v/>
      </c>
      <c r="M89">
        <f>SUM($K$2:K89)</f>
        <v/>
      </c>
    </row>
    <row r="90">
      <c r="A90" t="inlineStr">
        <is>
          <t>030085</t>
        </is>
      </c>
      <c r="B90" t="inlineStr">
        <is>
          <t>Northwest Medical Center</t>
        </is>
      </c>
      <c r="C90" t="inlineStr">
        <is>
          <t>AZ</t>
        </is>
      </c>
      <c r="D90" t="inlineStr">
        <is>
          <t>Metropolitan</t>
        </is>
      </c>
      <c r="E90" s="5" t="n">
        <v>2251</v>
      </c>
      <c r="F90" s="4" t="n">
        <v>0.4606841403820524</v>
      </c>
      <c r="G90" s="4" t="n">
        <v>0.5092945423527551</v>
      </c>
      <c r="H90" s="3" t="n">
        <v>39371973.16902621</v>
      </c>
      <c r="I90" s="3" t="n">
        <v>1997487.184235014</v>
      </c>
      <c r="J90" s="4" t="n">
        <v>0.0507337332487676</v>
      </c>
      <c r="K90">
        <f>IF(AND(I90&gt;0,J90&gt;=Assumptions!$B$4),1,0)</f>
        <v/>
      </c>
      <c r="L90" s="3">
        <f>I90*K90</f>
        <v/>
      </c>
      <c r="M90">
        <f>SUM($K$2:K90)</f>
        <v/>
      </c>
    </row>
    <row r="91">
      <c r="A91" t="inlineStr">
        <is>
          <t>340032</t>
        </is>
      </c>
      <c r="B91" t="inlineStr">
        <is>
          <t>Caromont Regional Medical Center</t>
        </is>
      </c>
      <c r="C91" t="inlineStr">
        <is>
          <t>NC</t>
        </is>
      </c>
      <c r="D91" t="inlineStr">
        <is>
          <t>Metropolitan</t>
        </is>
      </c>
      <c r="E91" s="5" t="n">
        <v>3065</v>
      </c>
      <c r="F91" s="4" t="n">
        <v>0.5513866231647635</v>
      </c>
      <c r="G91" s="4" t="n">
        <v>0.6125499041751727</v>
      </c>
      <c r="H91" s="3" t="n">
        <v>48545226.77870969</v>
      </c>
      <c r="I91" s="3" t="n">
        <v>1983264.83261814</v>
      </c>
      <c r="J91" s="4" t="n">
        <v>0.04085396163991</v>
      </c>
      <c r="K91">
        <f>IF(AND(I91&gt;0,J91&gt;=Assumptions!$B$4),1,0)</f>
        <v/>
      </c>
      <c r="L91" s="3">
        <f>I91*K91</f>
        <v/>
      </c>
      <c r="M91">
        <f>SUM($K$2:K91)</f>
        <v/>
      </c>
    </row>
    <row r="92">
      <c r="A92" t="inlineStr">
        <is>
          <t>210044</t>
        </is>
      </c>
      <c r="B92" t="inlineStr">
        <is>
          <t>Greater Baltimore Medical Center</t>
        </is>
      </c>
      <c r="C92" t="inlineStr">
        <is>
          <t>MD</t>
        </is>
      </c>
      <c r="D92" t="inlineStr">
        <is>
          <t>Metropolitan</t>
        </is>
      </c>
      <c r="E92" s="5" t="n">
        <v>3056</v>
      </c>
      <c r="F92" s="4" t="n">
        <v>0.5081806282722513</v>
      </c>
      <c r="G92" s="4" t="n">
        <v>0.5813963985878361</v>
      </c>
      <c r="H92" s="3" t="n">
        <v>44370483.98895328</v>
      </c>
      <c r="I92" s="3" t="n">
        <v>1977434.743048757</v>
      </c>
      <c r="J92" s="4" t="n">
        <v>0.0445664451967905</v>
      </c>
      <c r="K92">
        <f>IF(AND(I92&gt;0,J92&gt;=Assumptions!$B$4),1,0)</f>
        <v/>
      </c>
      <c r="L92" s="3">
        <f>I92*K92</f>
        <v/>
      </c>
      <c r="M92">
        <f>SUM($K$2:K92)</f>
        <v/>
      </c>
    </row>
    <row r="93">
      <c r="A93" t="inlineStr">
        <is>
          <t>220074</t>
        </is>
      </c>
      <c r="B93" t="inlineStr">
        <is>
          <t>Southcoast Hospital Group, Inc</t>
        </is>
      </c>
      <c r="C93" t="inlineStr">
        <is>
          <t>MA</t>
        </is>
      </c>
      <c r="D93" t="inlineStr">
        <is>
          <t>Metropolitan</t>
        </is>
      </c>
      <c r="E93" s="5" t="n">
        <v>8418</v>
      </c>
      <c r="F93" s="4" t="n">
        <v>0.5291043003088619</v>
      </c>
      <c r="G93" s="4" t="n">
        <v>0.5652800503735352</v>
      </c>
      <c r="H93" s="3" t="n">
        <v>129546492.953116</v>
      </c>
      <c r="I93" s="3" t="n">
        <v>1942492.718563661</v>
      </c>
      <c r="J93" s="4" t="n">
        <v>0.0149945604414522</v>
      </c>
      <c r="K93">
        <f>IF(AND(I93&gt;0,J93&gt;=Assumptions!$B$4),1,0)</f>
        <v/>
      </c>
      <c r="L93" s="3">
        <f>I93*K93</f>
        <v/>
      </c>
      <c r="M93">
        <f>SUM($K$2:K93)</f>
        <v/>
      </c>
    </row>
    <row r="94">
      <c r="A94" t="inlineStr">
        <is>
          <t>210008</t>
        </is>
      </c>
      <c r="B94" t="inlineStr">
        <is>
          <t>Mercy Medical Center Inc</t>
        </is>
      </c>
      <c r="C94" t="inlineStr">
        <is>
          <t>MD</t>
        </is>
      </c>
      <c r="D94" t="inlineStr">
        <is>
          <t>Metropolitan</t>
        </is>
      </c>
      <c r="E94" s="5" t="n">
        <v>1148</v>
      </c>
      <c r="F94" s="4" t="n">
        <v>0.1977351916376306</v>
      </c>
      <c r="G94" s="4" t="n">
        <v>0.3131901266151922</v>
      </c>
      <c r="H94" s="3" t="n">
        <v>27875971.95631536</v>
      </c>
      <c r="I94" s="3" t="n">
        <v>1938516.426048871</v>
      </c>
      <c r="J94" s="4" t="n">
        <v>0.06954076539776741</v>
      </c>
      <c r="K94">
        <f>IF(AND(I94&gt;0,J94&gt;=Assumptions!$B$4),1,0)</f>
        <v/>
      </c>
      <c r="L94" s="3">
        <f>I94*K94</f>
        <v/>
      </c>
      <c r="M94">
        <f>SUM($K$2:K94)</f>
        <v/>
      </c>
    </row>
    <row r="95">
      <c r="A95" t="inlineStr">
        <is>
          <t>140200</t>
        </is>
      </c>
      <c r="B95" t="inlineStr">
        <is>
          <t>Elmhurst Memorial Hospital</t>
        </is>
      </c>
      <c r="C95" t="inlineStr">
        <is>
          <t>IL</t>
        </is>
      </c>
      <c r="D95" t="inlineStr">
        <is>
          <t>Metropolitan</t>
        </is>
      </c>
      <c r="E95" s="5" t="n">
        <v>4202</v>
      </c>
      <c r="F95" s="4" t="n">
        <v>0.5152308424559734</v>
      </c>
      <c r="G95" s="4" t="n">
        <v>0.535878145355558</v>
      </c>
      <c r="H95" s="3" t="n">
        <v>67965112.2371347</v>
      </c>
      <c r="I95" s="3" t="n">
        <v>1921809.254590958</v>
      </c>
      <c r="J95" s="4" t="n">
        <v>0.0282764081649073</v>
      </c>
      <c r="K95">
        <f>IF(AND(I95&gt;0,J95&gt;=Assumptions!$B$4),1,0)</f>
        <v/>
      </c>
      <c r="L95" s="3">
        <f>I95*K95</f>
        <v/>
      </c>
      <c r="M95">
        <f>SUM($K$2:K95)</f>
        <v/>
      </c>
    </row>
    <row r="96">
      <c r="A96" t="inlineStr">
        <is>
          <t>340098</t>
        </is>
      </c>
      <c r="B96" t="inlineStr">
        <is>
          <t>Atrium Health Pineville</t>
        </is>
      </c>
      <c r="C96" t="inlineStr">
        <is>
          <t>NC</t>
        </is>
      </c>
      <c r="D96" t="inlineStr">
        <is>
          <t>Metropolitan</t>
        </is>
      </c>
      <c r="E96" s="5" t="n">
        <v>3666</v>
      </c>
      <c r="F96" s="4" t="n">
        <v>0.5010911074740863</v>
      </c>
      <c r="G96" s="4" t="n">
        <v>0.552647967006089</v>
      </c>
      <c r="H96" s="3" t="n">
        <v>54650378.24634892</v>
      </c>
      <c r="I96" s="3" t="n">
        <v>1907940.716076538</v>
      </c>
      <c r="J96" s="4" t="n">
        <v>0.0349117568313263</v>
      </c>
      <c r="K96">
        <f>IF(AND(I96&gt;0,J96&gt;=Assumptions!$B$4),1,0)</f>
        <v/>
      </c>
      <c r="L96" s="3">
        <f>I96*K96</f>
        <v/>
      </c>
      <c r="M96">
        <f>SUM($K$2:K96)</f>
        <v/>
      </c>
    </row>
    <row r="97">
      <c r="A97" t="inlineStr">
        <is>
          <t>310015</t>
        </is>
      </c>
      <c r="B97" t="inlineStr">
        <is>
          <t>Morristown Medical Center</t>
        </is>
      </c>
      <c r="C97" t="inlineStr">
        <is>
          <t>NJ</t>
        </is>
      </c>
      <c r="D97" t="inlineStr">
        <is>
          <t>Metropolitan</t>
        </is>
      </c>
      <c r="E97" s="5" t="n">
        <v>9877</v>
      </c>
      <c r="F97" s="4" t="n">
        <v>0.4815227295737572</v>
      </c>
      <c r="G97" s="4" t="n">
        <v>0.4966921268044749</v>
      </c>
      <c r="H97" s="3" t="n">
        <v>191694411.4067512</v>
      </c>
      <c r="I97" s="3" t="n">
        <v>1900419.470548242</v>
      </c>
      <c r="J97" s="4" t="n">
        <v>0.009913796946932301</v>
      </c>
      <c r="K97">
        <f>IF(AND(I97&gt;0,J97&gt;=Assumptions!$B$4),1,0)</f>
        <v/>
      </c>
      <c r="L97" s="3">
        <f>I97*K97</f>
        <v/>
      </c>
      <c r="M97">
        <f>SUM($K$2:K97)</f>
        <v/>
      </c>
    </row>
    <row r="98">
      <c r="A98" t="inlineStr">
        <is>
          <t>510001</t>
        </is>
      </c>
      <c r="B98" t="inlineStr">
        <is>
          <t>West Virginia University Hospitals, Inc</t>
        </is>
      </c>
      <c r="C98" t="inlineStr">
        <is>
          <t>WV</t>
        </is>
      </c>
      <c r="D98" t="inlineStr">
        <is>
          <t>Metropolitan</t>
        </is>
      </c>
      <c r="E98" s="5" t="n">
        <v>5641</v>
      </c>
      <c r="F98" s="4" t="n">
        <v>0.4793476333983336</v>
      </c>
      <c r="G98" s="4" t="n">
        <v>0.5041624513727544</v>
      </c>
      <c r="H98" s="3" t="n">
        <v>110718154.4614728</v>
      </c>
      <c r="I98" s="3" t="n">
        <v>1899729.233487204</v>
      </c>
      <c r="J98" s="4" t="n">
        <v>0.0171582451200291</v>
      </c>
      <c r="K98">
        <f>IF(AND(I98&gt;0,J98&gt;=Assumptions!$B$4),1,0)</f>
        <v/>
      </c>
      <c r="L98" s="3">
        <f>I98*K98</f>
        <v/>
      </c>
      <c r="M98">
        <f>SUM($K$2:K98)</f>
        <v/>
      </c>
    </row>
    <row r="99">
      <c r="A99" t="inlineStr">
        <is>
          <t>310076</t>
        </is>
      </c>
      <c r="B99" t="inlineStr">
        <is>
          <t>Cooperman Barnabas Medical Center</t>
        </is>
      </c>
      <c r="C99" t="inlineStr">
        <is>
          <t>NJ</t>
        </is>
      </c>
      <c r="D99" t="inlineStr">
        <is>
          <t>Metropolitan</t>
        </is>
      </c>
      <c r="E99" s="5" t="n">
        <v>4577</v>
      </c>
      <c r="F99" s="4" t="n">
        <v>0.5394363119947564</v>
      </c>
      <c r="G99" s="4" t="n">
        <v>0.5675774041686595</v>
      </c>
      <c r="H99" s="3" t="n">
        <v>85867983.86770439</v>
      </c>
      <c r="I99" s="3" t="n">
        <v>1887543.286587715</v>
      </c>
      <c r="J99" s="4" t="n">
        <v>0.0219819215680646</v>
      </c>
      <c r="K99">
        <f>IF(AND(I99&gt;0,J99&gt;=Assumptions!$B$4),1,0)</f>
        <v/>
      </c>
      <c r="L99" s="3">
        <f>I99*K99</f>
        <v/>
      </c>
      <c r="M99">
        <f>SUM($K$2:K99)</f>
        <v/>
      </c>
    </row>
    <row r="100">
      <c r="A100" t="inlineStr">
        <is>
          <t>390226</t>
        </is>
      </c>
      <c r="B100" t="inlineStr">
        <is>
          <t>Pennsylvania Hospital</t>
        </is>
      </c>
      <c r="C100" t="inlineStr">
        <is>
          <t>PA</t>
        </is>
      </c>
      <c r="D100" t="inlineStr">
        <is>
          <t>Metropolitan</t>
        </is>
      </c>
      <c r="E100" s="5" t="n">
        <v>1658</v>
      </c>
      <c r="F100" s="4" t="n">
        <v>0.4203860072376357</v>
      </c>
      <c r="G100" s="4" t="n">
        <v>0.5007227543726936</v>
      </c>
      <c r="H100" s="3" t="n">
        <v>32276755.30284344</v>
      </c>
      <c r="I100" s="3" t="n">
        <v>1877202.978890896</v>
      </c>
      <c r="J100" s="4" t="n">
        <v>0.058159593840138</v>
      </c>
      <c r="K100">
        <f>IF(AND(I100&gt;0,J100&gt;=Assumptions!$B$4),1,0)</f>
        <v/>
      </c>
      <c r="L100" s="3">
        <f>I100*K100</f>
        <v/>
      </c>
      <c r="M100">
        <f>SUM($K$2:K100)</f>
        <v/>
      </c>
    </row>
    <row r="101">
      <c r="A101" t="inlineStr">
        <is>
          <t>080007</t>
        </is>
      </c>
      <c r="B101" t="inlineStr">
        <is>
          <t>Beebe Medical Center</t>
        </is>
      </c>
      <c r="C101" t="inlineStr">
        <is>
          <t>DE</t>
        </is>
      </c>
      <c r="D101" t="inlineStr">
        <is>
          <t>Micropolitan</t>
        </is>
      </c>
      <c r="E101" s="5" t="n">
        <v>3782</v>
      </c>
      <c r="F101" s="4" t="n">
        <v>0.4624537281861449</v>
      </c>
      <c r="G101" s="4" t="n">
        <v>0.527281265434125</v>
      </c>
      <c r="H101" s="3" t="n">
        <v>53831807.66593786</v>
      </c>
      <c r="I101" s="3" t="n">
        <v>1874053.040745072</v>
      </c>
      <c r="J101" s="4" t="n">
        <v>0.0348131174114534</v>
      </c>
      <c r="K101">
        <f>IF(AND(I101&gt;0,J101&gt;=Assumptions!$B$4),1,0)</f>
        <v/>
      </c>
      <c r="L101" s="3">
        <f>I101*K101</f>
        <v/>
      </c>
      <c r="M101">
        <f>SUM($K$2:K101)</f>
        <v/>
      </c>
    </row>
    <row r="102">
      <c r="A102" t="inlineStr">
        <is>
          <t>340002</t>
        </is>
      </c>
      <c r="B102" t="inlineStr">
        <is>
          <t>Memorial Mission Hospital And Asheville Surgery Ce</t>
        </is>
      </c>
      <c r="C102" t="inlineStr">
        <is>
          <t>NC</t>
        </is>
      </c>
      <c r="D102" t="inlineStr">
        <is>
          <t>Metropolitan</t>
        </is>
      </c>
      <c r="E102" s="5" t="n">
        <v>7774</v>
      </c>
      <c r="F102" s="4" t="n">
        <v>0.5149215333161822</v>
      </c>
      <c r="G102" s="4" t="n">
        <v>0.5117985939940156</v>
      </c>
      <c r="H102" s="3" t="n">
        <v>145884639.3068533</v>
      </c>
      <c r="I102" s="3" t="n">
        <v>1871208.330330372</v>
      </c>
      <c r="J102" s="4" t="n">
        <v>0.0128266302691024</v>
      </c>
      <c r="K102">
        <f>IF(AND(I102&gt;0,J102&gt;=Assumptions!$B$4),1,0)</f>
        <v/>
      </c>
      <c r="L102" s="3">
        <f>I102*K102</f>
        <v/>
      </c>
      <c r="M102">
        <f>SUM($K$2:K102)</f>
        <v/>
      </c>
    </row>
    <row r="103">
      <c r="A103" t="inlineStr">
        <is>
          <t>310012</t>
        </is>
      </c>
      <c r="B103" t="inlineStr">
        <is>
          <t>Valley Hospital</t>
        </is>
      </c>
      <c r="C103" t="inlineStr">
        <is>
          <t>NJ</t>
        </is>
      </c>
      <c r="D103" t="inlineStr">
        <is>
          <t>Metropolitan</t>
        </is>
      </c>
      <c r="E103" s="5" t="n">
        <v>5896</v>
      </c>
      <c r="F103" s="4" t="n">
        <v>0.5094979647218453</v>
      </c>
      <c r="G103" s="4" t="n">
        <v>0.5406464265000898</v>
      </c>
      <c r="H103" s="3" t="n">
        <v>96177881.43712828</v>
      </c>
      <c r="I103" s="3" t="n">
        <v>1858935.557049021</v>
      </c>
      <c r="J103" s="4" t="n">
        <v>0.0193280984075762</v>
      </c>
      <c r="K103">
        <f>IF(AND(I103&gt;0,J103&gt;=Assumptions!$B$4),1,0)</f>
        <v/>
      </c>
      <c r="L103" s="3">
        <f>I103*K103</f>
        <v/>
      </c>
      <c r="M103">
        <f>SUM($K$2:K103)</f>
        <v/>
      </c>
    </row>
    <row r="104">
      <c r="A104" t="inlineStr">
        <is>
          <t>520008</t>
        </is>
      </c>
      <c r="B104" t="inlineStr">
        <is>
          <t>Prohealth Waukesha Memorial Hospital</t>
        </is>
      </c>
      <c r="C104" t="inlineStr">
        <is>
          <t>WI</t>
        </is>
      </c>
      <c r="D104" t="inlineStr">
        <is>
          <t>Metropolitan</t>
        </is>
      </c>
      <c r="E104" s="5" t="n">
        <v>2025</v>
      </c>
      <c r="F104" s="4" t="n">
        <v>0.4745679012345679</v>
      </c>
      <c r="G104" s="4" t="n">
        <v>0.5839400018405991</v>
      </c>
      <c r="H104" s="3" t="n">
        <v>29240256.40006435</v>
      </c>
      <c r="I104" s="3" t="n">
        <v>1851896.834504239</v>
      </c>
      <c r="J104" s="4" t="n">
        <v>0.0633338097028507</v>
      </c>
      <c r="K104">
        <f>IF(AND(I104&gt;0,J104&gt;=Assumptions!$B$4),1,0)</f>
        <v/>
      </c>
      <c r="L104" s="3">
        <f>I104*K104</f>
        <v/>
      </c>
      <c r="M104">
        <f>SUM($K$2:K104)</f>
        <v/>
      </c>
    </row>
    <row r="105">
      <c r="A105" t="inlineStr">
        <is>
          <t>220101</t>
        </is>
      </c>
      <c r="B105" t="inlineStr">
        <is>
          <t>Newton-Wellesley Hospital</t>
        </is>
      </c>
      <c r="C105" t="inlineStr">
        <is>
          <t>MA</t>
        </is>
      </c>
      <c r="D105" t="inlineStr">
        <is>
          <t>Metropolitan</t>
        </is>
      </c>
      <c r="E105" s="5" t="n">
        <v>4936</v>
      </c>
      <c r="F105" s="4" t="n">
        <v>0.4931118314424635</v>
      </c>
      <c r="G105" s="4" t="n">
        <v>0.5238431395550931</v>
      </c>
      <c r="H105" s="3" t="n">
        <v>70124676.97451797</v>
      </c>
      <c r="I105" s="3" t="n">
        <v>1845405.425751626</v>
      </c>
      <c r="J105" s="4" t="n">
        <v>0.0263160631231458</v>
      </c>
      <c r="K105">
        <f>IF(AND(I105&gt;0,J105&gt;=Assumptions!$B$4),1,0)</f>
        <v/>
      </c>
      <c r="L105" s="3">
        <f>I105*K105</f>
        <v/>
      </c>
      <c r="M105">
        <f>SUM($K$2:K105)</f>
        <v/>
      </c>
    </row>
    <row r="106">
      <c r="A106" t="inlineStr">
        <is>
          <t>250048</t>
        </is>
      </c>
      <c r="B106" t="inlineStr">
        <is>
          <t>St Dominic-Jackson Memorial Hospital</t>
        </is>
      </c>
      <c r="C106" t="inlineStr">
        <is>
          <t>MS</t>
        </is>
      </c>
      <c r="D106" t="inlineStr">
        <is>
          <t>Metropolitan</t>
        </is>
      </c>
      <c r="E106" s="5" t="n">
        <v>4389</v>
      </c>
      <c r="F106" s="4" t="n">
        <v>0.5604921394395078</v>
      </c>
      <c r="G106" s="4" t="n">
        <v>0.5770301054051862</v>
      </c>
      <c r="H106" s="3" t="n">
        <v>74736180.24788456</v>
      </c>
      <c r="I106" s="3" t="n">
        <v>1839739.727503493</v>
      </c>
      <c r="J106" s="4" t="n">
        <v>0.0246164537898706</v>
      </c>
      <c r="K106">
        <f>IF(AND(I106&gt;0,J106&gt;=Assumptions!$B$4),1,0)</f>
        <v/>
      </c>
      <c r="L106" s="3">
        <f>I106*K106</f>
        <v/>
      </c>
      <c r="M106">
        <f>SUM($K$2:K106)</f>
        <v/>
      </c>
    </row>
    <row r="107">
      <c r="A107" t="inlineStr">
        <is>
          <t>390111</t>
        </is>
      </c>
      <c r="B107" t="inlineStr">
        <is>
          <t>Hospital Of Univ Of Pennsylvania</t>
        </is>
      </c>
      <c r="C107" t="inlineStr">
        <is>
          <t>PA</t>
        </is>
      </c>
      <c r="D107" t="inlineStr">
        <is>
          <t>Metropolitan</t>
        </is>
      </c>
      <c r="E107" s="5" t="n">
        <v>6002</v>
      </c>
      <c r="F107" s="4" t="n">
        <v>0.4963345551482839</v>
      </c>
      <c r="G107" s="4" t="n">
        <v>0.510379544535057</v>
      </c>
      <c r="H107" s="3" t="n">
        <v>138163217.3477006</v>
      </c>
      <c r="I107" s="3" t="n">
        <v>1836174.579422385</v>
      </c>
      <c r="J107" s="4" t="n">
        <v>0.0132898944789442</v>
      </c>
      <c r="K107">
        <f>IF(AND(I107&gt;0,J107&gt;=Assumptions!$B$4),1,0)</f>
        <v/>
      </c>
      <c r="L107" s="3">
        <f>I107*K107</f>
        <v/>
      </c>
      <c r="M107">
        <f>SUM($K$2:K107)</f>
        <v/>
      </c>
    </row>
    <row r="108">
      <c r="A108" t="inlineStr">
        <is>
          <t>490018</t>
        </is>
      </c>
      <c r="B108" t="inlineStr">
        <is>
          <t>Augusta Health</t>
        </is>
      </c>
      <c r="C108" t="inlineStr">
        <is>
          <t>VA</t>
        </is>
      </c>
      <c r="D108" t="inlineStr">
        <is>
          <t>Metropolitan</t>
        </is>
      </c>
      <c r="E108" s="5" t="n">
        <v>2261</v>
      </c>
      <c r="F108" s="4" t="n">
        <v>0.4674922600619195</v>
      </c>
      <c r="G108" s="4" t="n">
        <v>0.5919525343094824</v>
      </c>
      <c r="H108" s="3" t="n">
        <v>34071142.22813666</v>
      </c>
      <c r="I108" s="3" t="n">
        <v>1832912.846095268</v>
      </c>
      <c r="J108" s="4" t="n">
        <v>0.0537966362801189</v>
      </c>
      <c r="K108">
        <f>IF(AND(I108&gt;0,J108&gt;=Assumptions!$B$4),1,0)</f>
        <v/>
      </c>
      <c r="L108" s="3">
        <f>I108*K108</f>
        <v/>
      </c>
      <c r="M108">
        <f>SUM($K$2:K108)</f>
        <v/>
      </c>
    </row>
    <row r="109">
      <c r="A109" t="inlineStr">
        <is>
          <t>190111</t>
        </is>
      </c>
      <c r="B109" t="inlineStr">
        <is>
          <t>Willis Knighton Medical Center, Inc</t>
        </is>
      </c>
      <c r="C109" t="inlineStr">
        <is>
          <t>LA</t>
        </is>
      </c>
      <c r="D109" t="inlineStr">
        <is>
          <t>Metropolitan</t>
        </is>
      </c>
      <c r="E109" s="5" t="n">
        <v>6912</v>
      </c>
      <c r="F109" s="4" t="n">
        <v>0.5241608796296297</v>
      </c>
      <c r="G109" s="4" t="n">
        <v>0.557186887845891</v>
      </c>
      <c r="H109" s="3" t="n">
        <v>110495554.5607173</v>
      </c>
      <c r="I109" s="3" t="n">
        <v>1827325.976111978</v>
      </c>
      <c r="J109" s="4" t="n">
        <v>0.0165375519709968</v>
      </c>
      <c r="K109">
        <f>IF(AND(I109&gt;0,J109&gt;=Assumptions!$B$4),1,0)</f>
        <v/>
      </c>
      <c r="L109" s="3">
        <f>I109*K109</f>
        <v/>
      </c>
      <c r="M109">
        <f>SUM($K$2:K109)</f>
        <v/>
      </c>
    </row>
    <row r="110">
      <c r="A110" t="inlineStr">
        <is>
          <t>330203</t>
        </is>
      </c>
      <c r="B110" t="inlineStr">
        <is>
          <t>Crouse Hospital</t>
        </is>
      </c>
      <c r="C110" t="inlineStr">
        <is>
          <t>NY</t>
        </is>
      </c>
      <c r="D110" t="inlineStr">
        <is>
          <t>Metropolitan</t>
        </is>
      </c>
      <c r="E110" s="5" t="n">
        <v>2236</v>
      </c>
      <c r="F110" s="4" t="n">
        <v>0.4745080500894454</v>
      </c>
      <c r="G110" s="4" t="n">
        <v>0.5616226757795926</v>
      </c>
      <c r="H110" s="3" t="n">
        <v>34901082.83447722</v>
      </c>
      <c r="I110" s="3" t="n">
        <v>1807408.386247035</v>
      </c>
      <c r="J110" s="4" t="n">
        <v>0.0517865991384535</v>
      </c>
      <c r="K110">
        <f>IF(AND(I110&gt;0,J110&gt;=Assumptions!$B$4),1,0)</f>
        <v/>
      </c>
      <c r="L110" s="3">
        <f>I110*K110</f>
        <v/>
      </c>
      <c r="M110">
        <f>SUM($K$2:K110)</f>
        <v/>
      </c>
    </row>
    <row r="111">
      <c r="A111" t="inlineStr">
        <is>
          <t>490052</t>
        </is>
      </c>
      <c r="B111" t="inlineStr">
        <is>
          <t>Riverside Regional Medical Center</t>
        </is>
      </c>
      <c r="C111" t="inlineStr">
        <is>
          <t>VA</t>
        </is>
      </c>
      <c r="D111" t="inlineStr">
        <is>
          <t>Metropolitan</t>
        </is>
      </c>
      <c r="E111" s="5" t="n">
        <v>4162</v>
      </c>
      <c r="F111" s="4" t="n">
        <v>0.4851033157135992</v>
      </c>
      <c r="G111" s="4" t="n">
        <v>0.5308077590669448</v>
      </c>
      <c r="H111" s="3" t="n">
        <v>69982987.83173667</v>
      </c>
      <c r="I111" s="3" t="n">
        <v>1803803.954346806</v>
      </c>
      <c r="J111" s="4" t="n">
        <v>0.0257748920163822</v>
      </c>
      <c r="K111">
        <f>IF(AND(I111&gt;0,J111&gt;=Assumptions!$B$4),1,0)</f>
        <v/>
      </c>
      <c r="L111" s="3">
        <f>I111*K111</f>
        <v/>
      </c>
      <c r="M111">
        <f>SUM($K$2:K111)</f>
        <v/>
      </c>
    </row>
    <row r="112">
      <c r="A112" t="inlineStr">
        <is>
          <t>260183</t>
        </is>
      </c>
      <c r="B112" t="inlineStr">
        <is>
          <t>Saint Francis Medical Center</t>
        </is>
      </c>
      <c r="C112" t="inlineStr">
        <is>
          <t>MO</t>
        </is>
      </c>
      <c r="D112" t="inlineStr">
        <is>
          <t>Metropolitan</t>
        </is>
      </c>
      <c r="E112" s="5" t="n">
        <v>1703</v>
      </c>
      <c r="F112" s="4" t="n">
        <v>0.533176746917205</v>
      </c>
      <c r="G112" s="4" t="n">
        <v>0.5813710535943022</v>
      </c>
      <c r="H112" s="3" t="n">
        <v>30664409.5463386</v>
      </c>
      <c r="I112" s="3" t="n">
        <v>1774834.172750238</v>
      </c>
      <c r="J112" s="4" t="n">
        <v>0.057879287389121</v>
      </c>
      <c r="K112">
        <f>IF(AND(I112&gt;0,J112&gt;=Assumptions!$B$4),1,0)</f>
        <v/>
      </c>
      <c r="L112" s="3">
        <f>I112*K112</f>
        <v/>
      </c>
      <c r="M112">
        <f>SUM($K$2:K112)</f>
        <v/>
      </c>
    </row>
    <row r="113">
      <c r="A113" t="inlineStr">
        <is>
          <t>270049</t>
        </is>
      </c>
      <c r="B113" t="inlineStr">
        <is>
          <t>St Vincent Healthcare</t>
        </is>
      </c>
      <c r="C113" t="inlineStr">
        <is>
          <t>MT</t>
        </is>
      </c>
      <c r="D113" t="inlineStr">
        <is>
          <t>Metropolitan</t>
        </is>
      </c>
      <c r="E113" s="5" t="n">
        <v>2020</v>
      </c>
      <c r="F113" s="4" t="n">
        <v>0.5381188118811882</v>
      </c>
      <c r="G113" s="4" t="n">
        <v>0.5666623883430938</v>
      </c>
      <c r="H113" s="3" t="n">
        <v>42463460.01901015</v>
      </c>
      <c r="I113" s="3" t="n">
        <v>1773820.084826567</v>
      </c>
      <c r="J113" s="4" t="n">
        <v>0.0417728579826622</v>
      </c>
      <c r="K113">
        <f>IF(AND(I113&gt;0,J113&gt;=Assumptions!$B$4),1,0)</f>
        <v/>
      </c>
      <c r="L113" s="3">
        <f>I113*K113</f>
        <v/>
      </c>
      <c r="M113">
        <f>SUM($K$2:K113)</f>
        <v/>
      </c>
    </row>
    <row r="114">
      <c r="A114" t="inlineStr">
        <is>
          <t>390258</t>
        </is>
      </c>
      <c r="B114" t="inlineStr">
        <is>
          <t>St Mary Medical Center</t>
        </is>
      </c>
      <c r="C114" t="inlineStr">
        <is>
          <t>PA</t>
        </is>
      </c>
      <c r="D114" t="inlineStr">
        <is>
          <t>Metropolitan</t>
        </is>
      </c>
      <c r="E114" s="5" t="n">
        <v>3883</v>
      </c>
      <c r="F114" s="4" t="n">
        <v>0.4787535410764872</v>
      </c>
      <c r="G114" s="4" t="n">
        <v>0.5483494635968361</v>
      </c>
      <c r="H114" s="3" t="n">
        <v>58176037.38184033</v>
      </c>
      <c r="I114" s="3" t="n">
        <v>1772875.274146751</v>
      </c>
      <c r="J114" s="4" t="n">
        <v>0.0304743216267967</v>
      </c>
      <c r="K114">
        <f>IF(AND(I114&gt;0,J114&gt;=Assumptions!$B$4),1,0)</f>
        <v/>
      </c>
      <c r="L114" s="3">
        <f>I114*K114</f>
        <v/>
      </c>
      <c r="M114">
        <f>SUM($K$2:K114)</f>
        <v/>
      </c>
    </row>
    <row r="115">
      <c r="A115" t="inlineStr">
        <is>
          <t>390326</t>
        </is>
      </c>
      <c r="B115" t="inlineStr">
        <is>
          <t>St Luke's Hospital - Anderson Campus</t>
        </is>
      </c>
      <c r="C115" t="inlineStr">
        <is>
          <t>PA</t>
        </is>
      </c>
      <c r="D115" t="inlineStr">
        <is>
          <t>Metropolitan</t>
        </is>
      </c>
      <c r="E115" s="5" t="n">
        <v>2849</v>
      </c>
      <c r="F115" s="4" t="n">
        <v>0.4917514917514917</v>
      </c>
      <c r="G115" s="4" t="n">
        <v>0.5724943072513027</v>
      </c>
      <c r="H115" s="3" t="n">
        <v>38126988.9234779</v>
      </c>
      <c r="I115" s="3" t="n">
        <v>1770929.56424094</v>
      </c>
      <c r="J115" s="4" t="n">
        <v>0.04644818838947</v>
      </c>
      <c r="K115">
        <f>IF(AND(I115&gt;0,J115&gt;=Assumptions!$B$4),1,0)</f>
        <v/>
      </c>
      <c r="L115" s="3">
        <f>I115*K115</f>
        <v/>
      </c>
      <c r="M115">
        <f>SUM($K$2:K115)</f>
        <v/>
      </c>
    </row>
    <row r="116">
      <c r="A116" t="inlineStr">
        <is>
          <t>050108</t>
        </is>
      </c>
      <c r="B116" t="inlineStr">
        <is>
          <t>Sutter Medical Center, Sacramento</t>
        </is>
      </c>
      <c r="C116" t="inlineStr">
        <is>
          <t>CA</t>
        </is>
      </c>
      <c r="D116" t="inlineStr">
        <is>
          <t>Metropolitan</t>
        </is>
      </c>
      <c r="E116" s="5" t="n">
        <v>3805</v>
      </c>
      <c r="F116" s="4" t="n">
        <v>0.516688567674113</v>
      </c>
      <c r="G116" s="4" t="n">
        <v>0.5484514008748038</v>
      </c>
      <c r="H116" s="3" t="n">
        <v>80844528.78300577</v>
      </c>
      <c r="I116" s="3" t="n">
        <v>1767448.895525023</v>
      </c>
      <c r="J116" s="4" t="n">
        <v>0.0218623192209954</v>
      </c>
      <c r="K116">
        <f>IF(AND(I116&gt;0,J116&gt;=Assumptions!$B$4),1,0)</f>
        <v/>
      </c>
      <c r="L116" s="3">
        <f>I116*K116</f>
        <v/>
      </c>
      <c r="M116">
        <f>SUM($K$2:K116)</f>
        <v/>
      </c>
    </row>
    <row r="117">
      <c r="A117" t="inlineStr">
        <is>
          <t>030061</t>
        </is>
      </c>
      <c r="B117" t="inlineStr">
        <is>
          <t>Banner Boswell Medical Center</t>
        </is>
      </c>
      <c r="C117" t="inlineStr">
        <is>
          <t>AZ</t>
        </is>
      </c>
      <c r="D117" t="inlineStr">
        <is>
          <t>Metropolitan</t>
        </is>
      </c>
      <c r="E117" s="5" t="n">
        <v>3331</v>
      </c>
      <c r="F117" s="4" t="n">
        <v>0.53737616331432</v>
      </c>
      <c r="G117" s="4" t="n">
        <v>0.5834726253693968</v>
      </c>
      <c r="H117" s="3" t="n">
        <v>56718842.29429592</v>
      </c>
      <c r="I117" s="3" t="n">
        <v>1757620.276335448</v>
      </c>
      <c r="J117" s="4" t="n">
        <v>0.0309882960448261</v>
      </c>
      <c r="K117">
        <f>IF(AND(I117&gt;0,J117&gt;=Assumptions!$B$4),1,0)</f>
        <v/>
      </c>
      <c r="L117" s="3">
        <f>I117*K117</f>
        <v/>
      </c>
      <c r="M117">
        <f>SUM($K$2:K117)</f>
        <v/>
      </c>
    </row>
    <row r="118">
      <c r="A118" t="inlineStr">
        <is>
          <t>330270</t>
        </is>
      </c>
      <c r="B118" t="inlineStr">
        <is>
          <t>Hospital For Special Surgery</t>
        </is>
      </c>
      <c r="C118" t="inlineStr">
        <is>
          <t>NY</t>
        </is>
      </c>
      <c r="D118" t="inlineStr">
        <is>
          <t>Metropolitan</t>
        </is>
      </c>
      <c r="E118" s="5" t="n">
        <v>1513</v>
      </c>
      <c r="F118" s="4" t="n">
        <v>0.1090548578982154</v>
      </c>
      <c r="G118" s="4" t="n">
        <v>0.1848594938228441</v>
      </c>
      <c r="H118" s="3" t="n">
        <v>46977688.18376924</v>
      </c>
      <c r="I118" s="3" t="n">
        <v>1749429.373309895</v>
      </c>
      <c r="J118" s="4" t="n">
        <v>0.0372395799143288</v>
      </c>
      <c r="K118">
        <f>IF(AND(I118&gt;0,J118&gt;=Assumptions!$B$4),1,0)</f>
        <v/>
      </c>
      <c r="L118" s="3">
        <f>I118*K118</f>
        <v/>
      </c>
      <c r="M118">
        <f>SUM($K$2:K118)</f>
        <v/>
      </c>
    </row>
    <row r="119">
      <c r="A119" t="inlineStr">
        <is>
          <t>040020</t>
        </is>
      </c>
      <c r="B119" t="inlineStr">
        <is>
          <t>St Bernards Medical Center</t>
        </is>
      </c>
      <c r="C119" t="inlineStr">
        <is>
          <t>AR</t>
        </is>
      </c>
      <c r="D119" t="inlineStr">
        <is>
          <t>Metropolitan</t>
        </is>
      </c>
      <c r="E119" s="5" t="n">
        <v>3250</v>
      </c>
      <c r="F119" s="4" t="n">
        <v>0.4996923076923077</v>
      </c>
      <c r="G119" s="4" t="n">
        <v>0.5469995087312938</v>
      </c>
      <c r="H119" s="3" t="n">
        <v>56240210.62573843</v>
      </c>
      <c r="I119" s="3" t="n">
        <v>1739892.572087623</v>
      </c>
      <c r="J119" s="4" t="n">
        <v>0.0309368075391125</v>
      </c>
      <c r="K119">
        <f>IF(AND(I119&gt;0,J119&gt;=Assumptions!$B$4),1,0)</f>
        <v/>
      </c>
      <c r="L119" s="3">
        <f>I119*K119</f>
        <v/>
      </c>
      <c r="M119">
        <f>SUM($K$2:K119)</f>
        <v/>
      </c>
    </row>
    <row r="120">
      <c r="A120" t="inlineStr">
        <is>
          <t>160079</t>
        </is>
      </c>
      <c r="B120" t="inlineStr">
        <is>
          <t>Mercy Medical Center - Cedar Rapids</t>
        </is>
      </c>
      <c r="C120" t="inlineStr">
        <is>
          <t>IA</t>
        </is>
      </c>
      <c r="D120" t="inlineStr">
        <is>
          <t>Metropolitan</t>
        </is>
      </c>
      <c r="E120" s="5" t="n">
        <v>1863</v>
      </c>
      <c r="F120" s="4" t="n">
        <v>0.3950617283950617</v>
      </c>
      <c r="G120" s="4" t="n">
        <v>0.529629507874889</v>
      </c>
      <c r="H120" s="3" t="n">
        <v>26838491.22694906</v>
      </c>
      <c r="I120" s="3" t="n">
        <v>1733971.401764739</v>
      </c>
      <c r="J120" s="4" t="n">
        <v>0.0646076333837881</v>
      </c>
      <c r="K120">
        <f>IF(AND(I120&gt;0,J120&gt;=Assumptions!$B$4),1,0)</f>
        <v/>
      </c>
      <c r="L120" s="3">
        <f>I120*K120</f>
        <v/>
      </c>
      <c r="M120">
        <f>SUM($K$2:K120)</f>
        <v/>
      </c>
    </row>
    <row r="121">
      <c r="A121" t="inlineStr">
        <is>
          <t>230269</t>
        </is>
      </c>
      <c r="B121" t="inlineStr">
        <is>
          <t>Beaumont Hospital, Troy</t>
        </is>
      </c>
      <c r="C121" t="inlineStr">
        <is>
          <t>MI</t>
        </is>
      </c>
      <c r="D121" t="inlineStr">
        <is>
          <t>Metropolitan</t>
        </is>
      </c>
      <c r="E121" s="5" t="n">
        <v>7717</v>
      </c>
      <c r="F121" s="4" t="n">
        <v>0.4885318128806531</v>
      </c>
      <c r="G121" s="4" t="n">
        <v>0.5273802324413737</v>
      </c>
      <c r="H121" s="3" t="n">
        <v>113101498.963867</v>
      </c>
      <c r="I121" s="3" t="n">
        <v>1715477.632218718</v>
      </c>
      <c r="J121" s="4" t="n">
        <v>0.0151675941338918</v>
      </c>
      <c r="K121">
        <f>IF(AND(I121&gt;0,J121&gt;=Assumptions!$B$4),1,0)</f>
        <v/>
      </c>
      <c r="L121" s="3">
        <f>I121*K121</f>
        <v/>
      </c>
      <c r="M121">
        <f>SUM($K$2:K121)</f>
        <v/>
      </c>
    </row>
    <row r="122">
      <c r="A122" t="inlineStr">
        <is>
          <t>260216</t>
        </is>
      </c>
      <c r="B122" t="inlineStr">
        <is>
          <t>Saint Luke's East Hospital</t>
        </is>
      </c>
      <c r="C122" t="inlineStr">
        <is>
          <t>MO</t>
        </is>
      </c>
      <c r="D122" t="inlineStr">
        <is>
          <t>Metropolitan</t>
        </is>
      </c>
      <c r="E122" s="5" t="n">
        <v>2615</v>
      </c>
      <c r="F122" s="4" t="n">
        <v>0.4703632887189292</v>
      </c>
      <c r="G122" s="4" t="n">
        <v>0.5886809426807386</v>
      </c>
      <c r="H122" s="3" t="n">
        <v>34536969.10880699</v>
      </c>
      <c r="I122" s="3" t="n">
        <v>1701783.571159046</v>
      </c>
      <c r="J122" s="4" t="n">
        <v>0.0492742592958189</v>
      </c>
      <c r="K122">
        <f>IF(AND(I122&gt;0,J122&gt;=Assumptions!$B$4),1,0)</f>
        <v/>
      </c>
      <c r="L122" s="3">
        <f>I122*K122</f>
        <v/>
      </c>
      <c r="M122">
        <f>SUM($K$2:K122)</f>
        <v/>
      </c>
    </row>
    <row r="123">
      <c r="A123" t="inlineStr">
        <is>
          <t>100127</t>
        </is>
      </c>
      <c r="B123" t="inlineStr">
        <is>
          <t>Morton Plant Hospital</t>
        </is>
      </c>
      <c r="C123" t="inlineStr">
        <is>
          <t>FL</t>
        </is>
      </c>
      <c r="D123" t="inlineStr">
        <is>
          <t>Metropolitan</t>
        </is>
      </c>
      <c r="E123" s="5" t="n">
        <v>5072</v>
      </c>
      <c r="F123" s="4" t="n">
        <v>0.5039432176656151</v>
      </c>
      <c r="G123" s="4" t="n">
        <v>0.544216840751509</v>
      </c>
      <c r="H123" s="3" t="n">
        <v>84649212.93279038</v>
      </c>
      <c r="I123" s="3" t="n">
        <v>1675830.546503425</v>
      </c>
      <c r="J123" s="4" t="n">
        <v>0.0197973553260796</v>
      </c>
      <c r="K123">
        <f>IF(AND(I123&gt;0,J123&gt;=Assumptions!$B$4),1,0)</f>
        <v/>
      </c>
      <c r="L123" s="3">
        <f>I123*K123</f>
        <v/>
      </c>
      <c r="M123">
        <f>SUM($K$2:K123)</f>
        <v/>
      </c>
    </row>
    <row r="124">
      <c r="A124" t="inlineStr">
        <is>
          <t>420049</t>
        </is>
      </c>
      <c r="B124" t="inlineStr">
        <is>
          <t>Conway Medical Center</t>
        </is>
      </c>
      <c r="C124" t="inlineStr">
        <is>
          <t>SC</t>
        </is>
      </c>
      <c r="D124" t="inlineStr">
        <is>
          <t>Metropolitan</t>
        </is>
      </c>
      <c r="E124" s="5" t="n">
        <v>1287</v>
      </c>
      <c r="F124" s="4" t="n">
        <v>0.376068376068376</v>
      </c>
      <c r="G124" s="4" t="n">
        <v>0.5318427343784677</v>
      </c>
      <c r="H124" s="3" t="n">
        <v>18684127.59619858</v>
      </c>
      <c r="I124" s="3" t="n">
        <v>1673568.79958747</v>
      </c>
      <c r="J124" s="4" t="n">
        <v>0.0895716854303633</v>
      </c>
      <c r="K124">
        <f>IF(AND(I124&gt;0,J124&gt;=Assumptions!$B$4),1,0)</f>
        <v/>
      </c>
      <c r="L124" s="3">
        <f>I124*K124</f>
        <v/>
      </c>
      <c r="M124">
        <f>SUM($K$2:K124)</f>
        <v/>
      </c>
    </row>
    <row r="125">
      <c r="A125" t="inlineStr">
        <is>
          <t>110043</t>
        </is>
      </c>
      <c r="B125" t="inlineStr">
        <is>
          <t>St Joseph's Hospital - Savannah</t>
        </is>
      </c>
      <c r="C125" t="inlineStr">
        <is>
          <t>GA</t>
        </is>
      </c>
      <c r="D125" t="inlineStr">
        <is>
          <t>Metropolitan</t>
        </is>
      </c>
      <c r="E125" s="5" t="n">
        <v>1741</v>
      </c>
      <c r="F125" s="4" t="n">
        <v>0.4261918437679494</v>
      </c>
      <c r="G125" s="4" t="n">
        <v>0.4894576325712496</v>
      </c>
      <c r="H125" s="3" t="n">
        <v>33593017.7255436</v>
      </c>
      <c r="I125" s="3" t="n">
        <v>1637127.325127501</v>
      </c>
      <c r="J125" s="4" t="n">
        <v>0.0487341547729621</v>
      </c>
      <c r="K125">
        <f>IF(AND(I125&gt;0,J125&gt;=Assumptions!$B$4),1,0)</f>
        <v/>
      </c>
      <c r="L125" s="3">
        <f>I125*K125</f>
        <v/>
      </c>
      <c r="M125">
        <f>SUM($K$2:K125)</f>
        <v/>
      </c>
    </row>
    <row r="126">
      <c r="A126" t="inlineStr">
        <is>
          <t>390097</t>
        </is>
      </c>
      <c r="B126" t="inlineStr">
        <is>
          <t>Holy Redeemer Hospital And Medical Center</t>
        </is>
      </c>
      <c r="C126" t="inlineStr">
        <is>
          <t>PA</t>
        </is>
      </c>
      <c r="D126" t="inlineStr">
        <is>
          <t>Metropolitan</t>
        </is>
      </c>
      <c r="E126" s="5" t="n">
        <v>1499</v>
      </c>
      <c r="F126" s="4" t="n">
        <v>0.4082721814543029</v>
      </c>
      <c r="G126" s="4" t="n">
        <v>0.5698455801470842</v>
      </c>
      <c r="H126" s="3" t="n">
        <v>18084372.92566977</v>
      </c>
      <c r="I126" s="3" t="n">
        <v>1633503.548606802</v>
      </c>
      <c r="J126" s="4" t="n">
        <v>0.0903268006759655</v>
      </c>
      <c r="K126">
        <f>IF(AND(I126&gt;0,J126&gt;=Assumptions!$B$4),1,0)</f>
        <v/>
      </c>
      <c r="L126" s="3">
        <f>I126*K126</f>
        <v/>
      </c>
      <c r="M126">
        <f>SUM($K$2:K126)</f>
        <v/>
      </c>
    </row>
    <row r="127">
      <c r="A127" t="inlineStr">
        <is>
          <t>030123</t>
        </is>
      </c>
      <c r="B127" t="inlineStr">
        <is>
          <t>Honorhealth Scottsdale Thompson Peak Med Ctr</t>
        </is>
      </c>
      <c r="C127" t="inlineStr">
        <is>
          <t>AZ</t>
        </is>
      </c>
      <c r="D127" t="inlineStr">
        <is>
          <t>Metropolitan</t>
        </is>
      </c>
      <c r="E127" s="5" t="n">
        <v>1962</v>
      </c>
      <c r="F127" s="4" t="n">
        <v>0.4266055045871559</v>
      </c>
      <c r="G127" s="4" t="n">
        <v>0.5220687702815316</v>
      </c>
      <c r="H127" s="3" t="n">
        <v>29495462.15662095</v>
      </c>
      <c r="I127" s="3" t="n">
        <v>1629369.691103715</v>
      </c>
      <c r="J127" s="4" t="n">
        <v>0.0552413683993747</v>
      </c>
      <c r="K127">
        <f>IF(AND(I127&gt;0,J127&gt;=Assumptions!$B$4),1,0)</f>
        <v/>
      </c>
      <c r="L127" s="3">
        <f>I127*K127</f>
        <v/>
      </c>
      <c r="M127">
        <f>SUM($K$2:K127)</f>
        <v/>
      </c>
    </row>
    <row r="128">
      <c r="A128" t="inlineStr">
        <is>
          <t>430095</t>
        </is>
      </c>
      <c r="B128" t="inlineStr">
        <is>
          <t>Avera Heart Hospital Of South Dakota</t>
        </is>
      </c>
      <c r="C128" t="inlineStr">
        <is>
          <t>SD</t>
        </is>
      </c>
      <c r="D128" t="inlineStr">
        <is>
          <t>Metropolitan</t>
        </is>
      </c>
      <c r="E128" s="5" t="n">
        <v>1155</v>
      </c>
      <c r="F128" s="4" t="n">
        <v>0.3177489177489177</v>
      </c>
      <c r="G128" s="4" t="n">
        <v>0.4006336705221965</v>
      </c>
      <c r="H128" s="3" t="n">
        <v>33468104.71549346</v>
      </c>
      <c r="I128" s="3" t="n">
        <v>1628186.213730414</v>
      </c>
      <c r="J128" s="4" t="n">
        <v>0.048648892059211</v>
      </c>
      <c r="K128">
        <f>IF(AND(I128&gt;0,J128&gt;=Assumptions!$B$4),1,0)</f>
        <v/>
      </c>
      <c r="L128" s="3">
        <f>I128*K128</f>
        <v/>
      </c>
      <c r="M128">
        <f>SUM($K$2:K128)</f>
        <v/>
      </c>
    </row>
    <row r="129">
      <c r="A129" t="inlineStr">
        <is>
          <t>170186</t>
        </is>
      </c>
      <c r="B129" t="inlineStr">
        <is>
          <t>Kansas Heart Hospital</t>
        </is>
      </c>
      <c r="C129" t="inlineStr">
        <is>
          <t>KS</t>
        </is>
      </c>
      <c r="D129" t="inlineStr">
        <is>
          <t>Metropolitan</t>
        </is>
      </c>
      <c r="E129" s="5" t="n">
        <v>562</v>
      </c>
      <c r="F129" s="4" t="n">
        <v>0.2419928825622775</v>
      </c>
      <c r="G129" s="4" t="n">
        <v>0.3862601530580424</v>
      </c>
      <c r="H129" s="3" t="n">
        <v>14927382.10873338</v>
      </c>
      <c r="I129" s="3" t="n">
        <v>1611859.256089138</v>
      </c>
      <c r="J129" s="4" t="n">
        <v>0.1079800359063702</v>
      </c>
      <c r="K129">
        <f>IF(AND(I129&gt;0,J129&gt;=Assumptions!$B$4),1,0)</f>
        <v/>
      </c>
      <c r="L129" s="3">
        <f>I129*K129</f>
        <v/>
      </c>
      <c r="M129">
        <f>SUM($K$2:K129)</f>
        <v/>
      </c>
    </row>
    <row r="130">
      <c r="A130" t="inlineStr">
        <is>
          <t>010131</t>
        </is>
      </c>
      <c r="B130" t="inlineStr">
        <is>
          <t>Crestwood Medical Center</t>
        </is>
      </c>
      <c r="C130" t="inlineStr">
        <is>
          <t>AL</t>
        </is>
      </c>
      <c r="D130" t="inlineStr">
        <is>
          <t>Metropolitan</t>
        </is>
      </c>
      <c r="E130" s="5" t="n">
        <v>1498</v>
      </c>
      <c r="F130" s="4" t="n">
        <v>0.4185580774365821</v>
      </c>
      <c r="G130" s="4" t="n">
        <v>0.5065090230224394</v>
      </c>
      <c r="H130" s="3" t="n">
        <v>25249798.65542795</v>
      </c>
      <c r="I130" s="3" t="n">
        <v>1594592.244623855</v>
      </c>
      <c r="J130" s="4" t="n">
        <v>0.06315267168600031</v>
      </c>
      <c r="K130">
        <f>IF(AND(I130&gt;0,J130&gt;=Assumptions!$B$4),1,0)</f>
        <v/>
      </c>
      <c r="L130" s="3">
        <f>I130*K130</f>
        <v/>
      </c>
      <c r="M130">
        <f>SUM($K$2:K130)</f>
        <v/>
      </c>
    </row>
    <row r="131">
      <c r="A131" t="inlineStr">
        <is>
          <t>160033</t>
        </is>
      </c>
      <c r="B131" t="inlineStr">
        <is>
          <t>Genesis Medical Center-Davenport</t>
        </is>
      </c>
      <c r="C131" t="inlineStr">
        <is>
          <t>IA</t>
        </is>
      </c>
      <c r="D131" t="inlineStr">
        <is>
          <t>Metropolitan</t>
        </is>
      </c>
      <c r="E131" s="5" t="n">
        <v>2741</v>
      </c>
      <c r="F131" s="4" t="n">
        <v>0.5122218168551623</v>
      </c>
      <c r="G131" s="4" t="n">
        <v>0.5612495684403985</v>
      </c>
      <c r="H131" s="3" t="n">
        <v>43445533.73722783</v>
      </c>
      <c r="I131" s="3" t="n">
        <v>1593260.33990661</v>
      </c>
      <c r="J131" s="4" t="n">
        <v>0.0366725921597176</v>
      </c>
      <c r="K131">
        <f>IF(AND(I131&gt;0,J131&gt;=Assumptions!$B$4),1,0)</f>
        <v/>
      </c>
      <c r="L131" s="3">
        <f>I131*K131</f>
        <v/>
      </c>
      <c r="M131">
        <f>SUM($K$2:K131)</f>
        <v/>
      </c>
    </row>
    <row r="132">
      <c r="A132" t="inlineStr">
        <is>
          <t>260179</t>
        </is>
      </c>
      <c r="B132" t="inlineStr">
        <is>
          <t>St Lukes Hospital</t>
        </is>
      </c>
      <c r="C132" t="inlineStr">
        <is>
          <t>MO</t>
        </is>
      </c>
      <c r="D132" t="inlineStr">
        <is>
          <t>Metropolitan</t>
        </is>
      </c>
      <c r="E132" s="5" t="n">
        <v>3824</v>
      </c>
      <c r="F132" s="4" t="n">
        <v>0.5128138075313807</v>
      </c>
      <c r="G132" s="4" t="n">
        <v>0.5414652246692775</v>
      </c>
      <c r="H132" s="3" t="n">
        <v>64490635.10615595</v>
      </c>
      <c r="I132" s="3" t="n">
        <v>1588957.856245093</v>
      </c>
      <c r="J132" s="4" t="n">
        <v>0.0246385828520615</v>
      </c>
      <c r="K132">
        <f>IF(AND(I132&gt;0,J132&gt;=Assumptions!$B$4),1,0)</f>
        <v/>
      </c>
      <c r="L132" s="3">
        <f>I132*K132</f>
        <v/>
      </c>
      <c r="M132">
        <f>SUM($K$2:K132)</f>
        <v/>
      </c>
    </row>
    <row r="133">
      <c r="A133" t="inlineStr">
        <is>
          <t>410009</t>
        </is>
      </c>
      <c r="B133" t="inlineStr">
        <is>
          <t>Kent County Memorial Hospital</t>
        </is>
      </c>
      <c r="C133" t="inlineStr">
        <is>
          <t>RI</t>
        </is>
      </c>
      <c r="D133" t="inlineStr">
        <is>
          <t>Metropolitan</t>
        </is>
      </c>
      <c r="E133" s="5" t="n">
        <v>1569</v>
      </c>
      <c r="F133" s="4" t="n">
        <v>0.4799235181644359</v>
      </c>
      <c r="G133" s="4" t="n">
        <v>0.6452908548177038</v>
      </c>
      <c r="H133" s="3" t="n">
        <v>19532204.14334532</v>
      </c>
      <c r="I133" s="3" t="n">
        <v>1584012.734787732</v>
      </c>
      <c r="J133" s="4" t="n">
        <v>0.0810974902352436</v>
      </c>
      <c r="K133">
        <f>IF(AND(I133&gt;0,J133&gt;=Assumptions!$B$4),1,0)</f>
        <v/>
      </c>
      <c r="L133" s="3">
        <f>I133*K133</f>
        <v/>
      </c>
      <c r="M133">
        <f>SUM($K$2:K133)</f>
        <v/>
      </c>
    </row>
    <row r="134">
      <c r="A134" t="inlineStr">
        <is>
          <t>330140</t>
        </is>
      </c>
      <c r="B134" t="inlineStr">
        <is>
          <t>St Joseph's Hospital Health Center</t>
        </is>
      </c>
      <c r="C134" t="inlineStr">
        <is>
          <t>NY</t>
        </is>
      </c>
      <c r="D134" t="inlineStr">
        <is>
          <t>Metropolitan</t>
        </is>
      </c>
      <c r="E134" s="5" t="n">
        <v>2918</v>
      </c>
      <c r="F134" s="4" t="n">
        <v>0.5102810143934201</v>
      </c>
      <c r="G134" s="4" t="n">
        <v>0.547452056068472</v>
      </c>
      <c r="H134" s="3" t="n">
        <v>57685864.07131225</v>
      </c>
      <c r="I134" s="3" t="n">
        <v>1564607.782268465</v>
      </c>
      <c r="J134" s="4" t="n">
        <v>0.0271228975669718</v>
      </c>
      <c r="K134">
        <f>IF(AND(I134&gt;0,J134&gt;=Assumptions!$B$4),1,0)</f>
        <v/>
      </c>
      <c r="L134" s="3">
        <f>I134*K134</f>
        <v/>
      </c>
      <c r="M134">
        <f>SUM($K$2:K134)</f>
        <v/>
      </c>
    </row>
    <row r="135">
      <c r="A135" t="inlineStr">
        <is>
          <t>150082</t>
        </is>
      </c>
      <c r="B135" t="inlineStr">
        <is>
          <t>Deaconess Hospital Inc</t>
        </is>
      </c>
      <c r="C135" t="inlineStr">
        <is>
          <t>IN</t>
        </is>
      </c>
      <c r="D135" t="inlineStr">
        <is>
          <t>Metropolitan</t>
        </is>
      </c>
      <c r="E135" s="5" t="n">
        <v>8851</v>
      </c>
      <c r="F135" s="4" t="n">
        <v>0.4923737430798779</v>
      </c>
      <c r="G135" s="4" t="n">
        <v>0.507842504433175</v>
      </c>
      <c r="H135" s="3" t="n">
        <v>148184097.9298699</v>
      </c>
      <c r="I135" s="3" t="n">
        <v>1563655.720243394</v>
      </c>
      <c r="J135" s="4" t="n">
        <v>0.0105521155244567</v>
      </c>
      <c r="K135">
        <f>IF(AND(I135&gt;0,J135&gt;=Assumptions!$B$4),1,0)</f>
        <v/>
      </c>
      <c r="L135" s="3">
        <f>I135*K135</f>
        <v/>
      </c>
      <c r="M135">
        <f>SUM($K$2:K135)</f>
        <v/>
      </c>
    </row>
    <row r="136">
      <c r="A136" t="inlineStr">
        <is>
          <t>260177</t>
        </is>
      </c>
      <c r="B136" t="inlineStr">
        <is>
          <t>Liberty Hospital</t>
        </is>
      </c>
      <c r="C136" t="inlineStr">
        <is>
          <t>MO</t>
        </is>
      </c>
      <c r="D136" t="inlineStr">
        <is>
          <t>Metropolitan</t>
        </is>
      </c>
      <c r="E136" s="5" t="n">
        <v>1208</v>
      </c>
      <c r="F136" s="4" t="n">
        <v>0.3932119205298013</v>
      </c>
      <c r="G136" s="4" t="n">
        <v>0.5670442530274126</v>
      </c>
      <c r="H136" s="3" t="n">
        <v>17925657.97618195</v>
      </c>
      <c r="I136" s="3" t="n">
        <v>1557573.277640015</v>
      </c>
      <c r="J136" s="4" t="n">
        <v>0.0868907171892703</v>
      </c>
      <c r="K136">
        <f>IF(AND(I136&gt;0,J136&gt;=Assumptions!$B$4),1,0)</f>
        <v/>
      </c>
      <c r="L136" s="3">
        <f>I136*K136</f>
        <v/>
      </c>
      <c r="M136">
        <f>SUM($K$2:K136)</f>
        <v/>
      </c>
    </row>
    <row r="137">
      <c r="A137" t="inlineStr">
        <is>
          <t>050060</t>
        </is>
      </c>
      <c r="B137" t="inlineStr">
        <is>
          <t>Community Regional Medical Center</t>
        </is>
      </c>
      <c r="C137" t="inlineStr">
        <is>
          <t>CA</t>
        </is>
      </c>
      <c r="D137" t="inlineStr">
        <is>
          <t>Metropolitan</t>
        </is>
      </c>
      <c r="E137" s="5" t="n">
        <v>4181</v>
      </c>
      <c r="F137" s="4" t="n">
        <v>0.5017938292274575</v>
      </c>
      <c r="G137" s="4" t="n">
        <v>0.5378665021935608</v>
      </c>
      <c r="H137" s="3" t="n">
        <v>76835023.73080114</v>
      </c>
      <c r="I137" s="3" t="n">
        <v>1524952.737479866</v>
      </c>
      <c r="J137" s="4" t="n">
        <v>0.019847104398935</v>
      </c>
      <c r="K137">
        <f>IF(AND(I137&gt;0,J137&gt;=Assumptions!$B$4),1,0)</f>
        <v/>
      </c>
      <c r="L137" s="3">
        <f>I137*K137</f>
        <v/>
      </c>
      <c r="M137">
        <f>SUM($K$2:K137)</f>
        <v/>
      </c>
    </row>
    <row r="138">
      <c r="A138" t="inlineStr">
        <is>
          <t>160030</t>
        </is>
      </c>
      <c r="B138" t="inlineStr">
        <is>
          <t>Mary Greeley Medical Center</t>
        </is>
      </c>
      <c r="C138" t="inlineStr">
        <is>
          <t>IA</t>
        </is>
      </c>
      <c r="D138" t="inlineStr">
        <is>
          <t>Metropolitan</t>
        </is>
      </c>
      <c r="E138" s="5" t="n">
        <v>1691</v>
      </c>
      <c r="F138" s="4" t="n">
        <v>0.4246008279124778</v>
      </c>
      <c r="G138" s="4" t="n">
        <v>0.550982164874709</v>
      </c>
      <c r="H138" s="3" t="n">
        <v>23458183.10918082</v>
      </c>
      <c r="I138" s="3" t="n">
        <v>1517206.59924433</v>
      </c>
      <c r="J138" s="4" t="n">
        <v>0.064677072055531</v>
      </c>
      <c r="K138">
        <f>IF(AND(I138&gt;0,J138&gt;=Assumptions!$B$4),1,0)</f>
        <v/>
      </c>
      <c r="L138" s="3">
        <f>I138*K138</f>
        <v/>
      </c>
      <c r="M138">
        <f>SUM($K$2:K138)</f>
        <v/>
      </c>
    </row>
    <row r="139">
      <c r="A139" t="inlineStr">
        <is>
          <t>100265</t>
        </is>
      </c>
      <c r="B139" t="inlineStr">
        <is>
          <t>Mease Countryside Hospital</t>
        </is>
      </c>
      <c r="C139" t="inlineStr">
        <is>
          <t>FL</t>
        </is>
      </c>
      <c r="D139" t="inlineStr">
        <is>
          <t>Metropolitan</t>
        </is>
      </c>
      <c r="E139" s="5" t="n">
        <v>3422</v>
      </c>
      <c r="F139" s="4" t="n">
        <v>0.4880187025131502</v>
      </c>
      <c r="G139" s="4" t="n">
        <v>0.5670332669518825</v>
      </c>
      <c r="H139" s="3" t="n">
        <v>48477232.74194013</v>
      </c>
      <c r="I139" s="3" t="n">
        <v>1515727.041993894</v>
      </c>
      <c r="J139" s="4" t="n">
        <v>0.0312667814613634</v>
      </c>
      <c r="K139">
        <f>IF(AND(I139&gt;0,J139&gt;=Assumptions!$B$4),1,0)</f>
        <v/>
      </c>
      <c r="L139" s="3">
        <f>I139*K139</f>
        <v/>
      </c>
      <c r="M139">
        <f>SUM($K$2:K139)</f>
        <v/>
      </c>
    </row>
    <row r="140">
      <c r="A140" t="inlineStr">
        <is>
          <t>360230</t>
        </is>
      </c>
      <c r="B140" t="inlineStr">
        <is>
          <t>Hillcrest Hospital</t>
        </is>
      </c>
      <c r="C140" t="inlineStr">
        <is>
          <t>OH</t>
        </is>
      </c>
      <c r="D140" t="inlineStr">
        <is>
          <t>Metropolitan</t>
        </is>
      </c>
      <c r="E140" s="5" t="n">
        <v>4720</v>
      </c>
      <c r="F140" s="4" t="n">
        <v>0.498728813559322</v>
      </c>
      <c r="G140" s="4" t="n">
        <v>0.5580879859727522</v>
      </c>
      <c r="H140" s="3" t="n">
        <v>71906399.92468813</v>
      </c>
      <c r="I140" s="3" t="n">
        <v>1508345.520955756</v>
      </c>
      <c r="J140" s="4" t="n">
        <v>0.0209765128352349</v>
      </c>
      <c r="K140">
        <f>IF(AND(I140&gt;0,J140&gt;=Assumptions!$B$4),1,0)</f>
        <v/>
      </c>
      <c r="L140" s="3">
        <f>I140*K140</f>
        <v/>
      </c>
      <c r="M140">
        <f>SUM($K$2:K140)</f>
        <v/>
      </c>
    </row>
    <row r="141">
      <c r="A141" t="inlineStr">
        <is>
          <t>060022</t>
        </is>
      </c>
      <c r="B141" t="inlineStr">
        <is>
          <t>University Colo Health Memorial Hospital Central</t>
        </is>
      </c>
      <c r="C141" t="inlineStr">
        <is>
          <t>CO</t>
        </is>
      </c>
      <c r="D141" t="inlineStr">
        <is>
          <t>Metropolitan</t>
        </is>
      </c>
      <c r="E141" s="5" t="n">
        <v>4466</v>
      </c>
      <c r="F141" s="4" t="n">
        <v>0.4532019704433497</v>
      </c>
      <c r="G141" s="4" t="n">
        <v>0.4928365993727896</v>
      </c>
      <c r="H141" s="3" t="n">
        <v>77504284.32927641</v>
      </c>
      <c r="I141" s="3" t="n">
        <v>1505472.016185626</v>
      </c>
      <c r="J141" s="4" t="n">
        <v>0.0194243715584759</v>
      </c>
      <c r="K141">
        <f>IF(AND(I141&gt;0,J141&gt;=Assumptions!$B$4),1,0)</f>
        <v/>
      </c>
      <c r="L141" s="3">
        <f>I141*K141</f>
        <v/>
      </c>
      <c r="M141">
        <f>SUM($K$2:K141)</f>
        <v/>
      </c>
    </row>
    <row r="142">
      <c r="A142" t="inlineStr">
        <is>
          <t>330158</t>
        </is>
      </c>
      <c r="B142" t="inlineStr">
        <is>
          <t>Good Samaritan Hospital Of Suffern</t>
        </is>
      </c>
      <c r="C142" t="inlineStr">
        <is>
          <t>NY</t>
        </is>
      </c>
      <c r="D142" t="inlineStr">
        <is>
          <t>Metropolitan</t>
        </is>
      </c>
      <c r="E142" s="5" t="n">
        <v>2951</v>
      </c>
      <c r="F142" s="4" t="n">
        <v>0.5337173839376482</v>
      </c>
      <c r="G142" s="4" t="n">
        <v>0.5827673357869811</v>
      </c>
      <c r="H142" s="3" t="n">
        <v>43011394.31888317</v>
      </c>
      <c r="I142" s="3" t="n">
        <v>1503316.202284425</v>
      </c>
      <c r="J142" s="4" t="n">
        <v>0.0349515802984426</v>
      </c>
      <c r="K142">
        <f>IF(AND(I142&gt;0,J142&gt;=Assumptions!$B$4),1,0)</f>
        <v/>
      </c>
      <c r="L142" s="3">
        <f>I142*K142</f>
        <v/>
      </c>
      <c r="M142">
        <f>SUM($K$2:K142)</f>
        <v/>
      </c>
    </row>
    <row r="143">
      <c r="A143" t="inlineStr">
        <is>
          <t>100359</t>
        </is>
      </c>
      <c r="B143" t="inlineStr">
        <is>
          <t>Sarasota Memorial Hospital - Venice</t>
        </is>
      </c>
      <c r="C143" t="inlineStr">
        <is>
          <t>FL</t>
        </is>
      </c>
      <c r="D143" t="inlineStr">
        <is>
          <t>Metropolitan</t>
        </is>
      </c>
      <c r="E143" s="5" t="n">
        <v>3342</v>
      </c>
      <c r="F143" s="4" t="n">
        <v>0.4883303411131059</v>
      </c>
      <c r="G143" s="4" t="n">
        <v>0.5404344991874731</v>
      </c>
      <c r="H143" s="3" t="n">
        <v>46120820.88016911</v>
      </c>
      <c r="I143" s="3" t="n">
        <v>1493765.18010623</v>
      </c>
      <c r="J143" s="4" t="n">
        <v>0.0323880874537624</v>
      </c>
      <c r="K143">
        <f>IF(AND(I143&gt;0,J143&gt;=Assumptions!$B$4),1,0)</f>
        <v/>
      </c>
      <c r="L143" s="3">
        <f>I143*K143</f>
        <v/>
      </c>
      <c r="M143">
        <f>SUM($K$2:K143)</f>
        <v/>
      </c>
    </row>
    <row r="144">
      <c r="A144" t="inlineStr">
        <is>
          <t>180103</t>
        </is>
      </c>
      <c r="B144" t="inlineStr">
        <is>
          <t>Baptist Health Lexington</t>
        </is>
      </c>
      <c r="C144" t="inlineStr">
        <is>
          <t>KY</t>
        </is>
      </c>
      <c r="D144" t="inlineStr">
        <is>
          <t>Metropolitan</t>
        </is>
      </c>
      <c r="E144" s="5" t="n">
        <v>3294</v>
      </c>
      <c r="F144" s="4" t="n">
        <v>0.5115361262902246</v>
      </c>
      <c r="G144" s="4" t="n">
        <v>0.5554551410058631</v>
      </c>
      <c r="H144" s="3" t="n">
        <v>54952256.49727352</v>
      </c>
      <c r="I144" s="3" t="n">
        <v>1459656.168269619</v>
      </c>
      <c r="J144" s="4" t="n">
        <v>0.0265622607934587</v>
      </c>
      <c r="K144">
        <f>IF(AND(I144&gt;0,J144&gt;=Assumptions!$B$4),1,0)</f>
        <v/>
      </c>
      <c r="L144" s="3">
        <f>I144*K144</f>
        <v/>
      </c>
      <c r="M144">
        <f>SUM($K$2:K144)</f>
        <v/>
      </c>
    </row>
    <row r="145">
      <c r="A145" t="inlineStr">
        <is>
          <t>170049</t>
        </is>
      </c>
      <c r="B145" t="inlineStr">
        <is>
          <t>Olathe Medical Center</t>
        </is>
      </c>
      <c r="C145" t="inlineStr">
        <is>
          <t>KS</t>
        </is>
      </c>
      <c r="D145" t="inlineStr">
        <is>
          <t>Metropolitan</t>
        </is>
      </c>
      <c r="E145" s="5" t="n">
        <v>1849</v>
      </c>
      <c r="F145" s="4" t="n">
        <v>0.3942671714440238</v>
      </c>
      <c r="G145" s="4" t="n">
        <v>0.5198986060456119</v>
      </c>
      <c r="H145" s="3" t="n">
        <v>27850143.30952581</v>
      </c>
      <c r="I145" s="3" t="n">
        <v>1458671.099837105</v>
      </c>
      <c r="J145" s="4" t="n">
        <v>0.0523757125277766</v>
      </c>
      <c r="K145">
        <f>IF(AND(I145&gt;0,J145&gt;=Assumptions!$B$4),1,0)</f>
        <v/>
      </c>
      <c r="L145" s="3">
        <f>I145*K145</f>
        <v/>
      </c>
      <c r="M145">
        <f>SUM($K$2:K145)</f>
        <v/>
      </c>
    </row>
    <row r="146">
      <c r="A146" t="inlineStr">
        <is>
          <t>140015</t>
        </is>
      </c>
      <c r="B146" t="inlineStr">
        <is>
          <t>Blessing Hospital</t>
        </is>
      </c>
      <c r="C146" t="inlineStr">
        <is>
          <t>IL</t>
        </is>
      </c>
      <c r="D146" t="inlineStr">
        <is>
          <t>Micropolitan</t>
        </is>
      </c>
      <c r="E146" s="5" t="n">
        <v>3064</v>
      </c>
      <c r="F146" s="4" t="n">
        <v>0.5251305483028721</v>
      </c>
      <c r="G146" s="4" t="n">
        <v>0.5647869195117566</v>
      </c>
      <c r="H146" s="3" t="n">
        <v>47227947.74471447</v>
      </c>
      <c r="I146" s="3" t="n">
        <v>1438205.764570303</v>
      </c>
      <c r="J146" s="4" t="n">
        <v>0.0304524298270246</v>
      </c>
      <c r="K146">
        <f>IF(AND(I146&gt;0,J146&gt;=Assumptions!$B$4),1,0)</f>
        <v/>
      </c>
      <c r="L146" s="3">
        <f>I146*K146</f>
        <v/>
      </c>
      <c r="M146">
        <f>SUM($K$2:K146)</f>
        <v/>
      </c>
    </row>
    <row r="147">
      <c r="A147" t="inlineStr">
        <is>
          <t>490059</t>
        </is>
      </c>
      <c r="B147" t="inlineStr">
        <is>
          <t>Bon Secours St Marys Hospital</t>
        </is>
      </c>
      <c r="C147" t="inlineStr">
        <is>
          <t>VA</t>
        </is>
      </c>
      <c r="D147" t="inlineStr">
        <is>
          <t>Metropolitan</t>
        </is>
      </c>
      <c r="E147" s="5" t="n">
        <v>3544</v>
      </c>
      <c r="F147" s="4" t="n">
        <v>0.4946388261851016</v>
      </c>
      <c r="G147" s="4" t="n">
        <v>0.5338816048564622</v>
      </c>
      <c r="H147" s="3" t="n">
        <v>62244869.22914362</v>
      </c>
      <c r="I147" s="3" t="n">
        <v>1436866.193991721</v>
      </c>
      <c r="J147" s="4" t="n">
        <v>0.0230840904926982</v>
      </c>
      <c r="K147">
        <f>IF(AND(I147&gt;0,J147&gt;=Assumptions!$B$4),1,0)</f>
        <v/>
      </c>
      <c r="L147" s="3">
        <f>I147*K147</f>
        <v/>
      </c>
      <c r="M147">
        <f>SUM($K$2:K147)</f>
        <v/>
      </c>
    </row>
    <row r="148">
      <c r="A148" t="inlineStr">
        <is>
          <t>180104</t>
        </is>
      </c>
      <c r="B148" t="inlineStr">
        <is>
          <t>Baptist Health Paducah</t>
        </is>
      </c>
      <c r="C148" t="inlineStr">
        <is>
          <t>KY</t>
        </is>
      </c>
      <c r="D148" t="inlineStr">
        <is>
          <t>Micropolitan</t>
        </is>
      </c>
      <c r="E148" s="5" t="n">
        <v>1880</v>
      </c>
      <c r="F148" s="4" t="n">
        <v>0.400531914893617</v>
      </c>
      <c r="G148" s="4" t="n">
        <v>0.5501320857016155</v>
      </c>
      <c r="H148" s="3" t="n">
        <v>31446078.73354883</v>
      </c>
      <c r="I148" s="3" t="n">
        <v>1429299.155918036</v>
      </c>
      <c r="J148" s="4" t="n">
        <v>0.0454523811388019</v>
      </c>
      <c r="K148">
        <f>IF(AND(I148&gt;0,J148&gt;=Assumptions!$B$4),1,0)</f>
        <v/>
      </c>
      <c r="L148" s="3">
        <f>I148*K148</f>
        <v/>
      </c>
      <c r="M148">
        <f>SUM($K$2:K148)</f>
        <v/>
      </c>
    </row>
    <row r="149">
      <c r="A149" t="inlineStr">
        <is>
          <t>310045</t>
        </is>
      </c>
      <c r="B149" t="inlineStr">
        <is>
          <t>Englewood Hospital</t>
        </is>
      </c>
      <c r="C149" t="inlineStr">
        <is>
          <t>NJ</t>
        </is>
      </c>
      <c r="D149" t="inlineStr">
        <is>
          <t>Metropolitan</t>
        </is>
      </c>
      <c r="E149" s="5" t="n">
        <v>3124</v>
      </c>
      <c r="F149" s="4" t="n">
        <v>0.5032010243277849</v>
      </c>
      <c r="G149" s="4" t="n">
        <v>0.5375181976525858</v>
      </c>
      <c r="H149" s="3" t="n">
        <v>54329768.59781788</v>
      </c>
      <c r="I149" s="3" t="n">
        <v>1426623.366964713</v>
      </c>
      <c r="J149" s="4" t="n">
        <v>0.0262585945750192</v>
      </c>
      <c r="K149">
        <f>IF(AND(I149&gt;0,J149&gt;=Assumptions!$B$4),1,0)</f>
        <v/>
      </c>
      <c r="L149" s="3">
        <f>I149*K149</f>
        <v/>
      </c>
      <c r="M149">
        <f>SUM($K$2:K149)</f>
        <v/>
      </c>
    </row>
    <row r="150">
      <c r="A150" t="inlineStr">
        <is>
          <t>030013</t>
        </is>
      </c>
      <c r="B150" t="inlineStr">
        <is>
          <t>Yuma Regional Medical Center</t>
        </is>
      </c>
      <c r="C150" t="inlineStr">
        <is>
          <t>AZ</t>
        </is>
      </c>
      <c r="D150" t="inlineStr">
        <is>
          <t>Metropolitan</t>
        </is>
      </c>
      <c r="E150" s="5" t="n">
        <v>2085</v>
      </c>
      <c r="F150" s="4" t="n">
        <v>0.5726618705035971</v>
      </c>
      <c r="G150" s="4" t="n">
        <v>0.6189921324256197</v>
      </c>
      <c r="H150" s="3" t="n">
        <v>35950598.04807373</v>
      </c>
      <c r="I150" s="3" t="n">
        <v>1423051.58103855</v>
      </c>
      <c r="J150" s="4" t="n">
        <v>0.0395835301303088</v>
      </c>
      <c r="K150">
        <f>IF(AND(I150&gt;0,J150&gt;=Assumptions!$B$4),1,0)</f>
        <v/>
      </c>
      <c r="L150" s="3">
        <f>I150*K150</f>
        <v/>
      </c>
      <c r="M150">
        <f>SUM($K$2:K150)</f>
        <v/>
      </c>
    </row>
    <row r="151">
      <c r="A151" t="inlineStr">
        <is>
          <t>310010</t>
        </is>
      </c>
      <c r="B151" t="inlineStr">
        <is>
          <t>Penn Medicine Princeton Medical Center</t>
        </is>
      </c>
      <c r="C151" t="inlineStr">
        <is>
          <t>NJ</t>
        </is>
      </c>
      <c r="D151" t="inlineStr">
        <is>
          <t>Metropolitan</t>
        </is>
      </c>
      <c r="E151" s="5" t="n">
        <v>3340</v>
      </c>
      <c r="F151" s="4" t="n">
        <v>0.5332335329341318</v>
      </c>
      <c r="G151" s="4" t="n">
        <v>0.5988454462570372</v>
      </c>
      <c r="H151" s="3" t="n">
        <v>47850724.82544938</v>
      </c>
      <c r="I151" s="3" t="n">
        <v>1420029.132094696</v>
      </c>
      <c r="J151" s="4" t="n">
        <v>0.0296762303449885</v>
      </c>
      <c r="K151">
        <f>IF(AND(I151&gt;0,J151&gt;=Assumptions!$B$4),1,0)</f>
        <v/>
      </c>
      <c r="L151" s="3">
        <f>I151*K151</f>
        <v/>
      </c>
      <c r="M151">
        <f>SUM($K$2:K151)</f>
        <v/>
      </c>
    </row>
    <row r="152">
      <c r="A152" t="inlineStr">
        <is>
          <t>240057</t>
        </is>
      </c>
      <c r="B152" t="inlineStr">
        <is>
          <t>Abbott Northwestern Hospital</t>
        </is>
      </c>
      <c r="C152" t="inlineStr">
        <is>
          <t>MN</t>
        </is>
      </c>
      <c r="D152" t="inlineStr">
        <is>
          <t>Metropolitan</t>
        </is>
      </c>
      <c r="E152" s="5" t="n">
        <v>4669</v>
      </c>
      <c r="F152" s="4" t="n">
        <v>0.476975797815378</v>
      </c>
      <c r="G152" s="4" t="n">
        <v>0.5069651168927072</v>
      </c>
      <c r="H152" s="3" t="n">
        <v>103107148.3459395</v>
      </c>
      <c r="I152" s="3" t="n">
        <v>1417973.525716856</v>
      </c>
      <c r="J152" s="4" t="n">
        <v>0.013752426950645</v>
      </c>
      <c r="K152">
        <f>IF(AND(I152&gt;0,J152&gt;=Assumptions!$B$4),1,0)</f>
        <v/>
      </c>
      <c r="L152" s="3">
        <f>I152*K152</f>
        <v/>
      </c>
      <c r="M152">
        <f>SUM($K$2:K152)</f>
        <v/>
      </c>
    </row>
    <row r="153">
      <c r="A153" t="inlineStr">
        <is>
          <t>050093</t>
        </is>
      </c>
      <c r="B153" t="inlineStr">
        <is>
          <t>Saint Agnes Medical Center</t>
        </is>
      </c>
      <c r="C153" t="inlineStr">
        <is>
          <t>CA</t>
        </is>
      </c>
      <c r="D153" t="inlineStr">
        <is>
          <t>Metropolitan</t>
        </is>
      </c>
      <c r="E153" s="5" t="n">
        <v>4631</v>
      </c>
      <c r="F153" s="4" t="n">
        <v>0.5193262794212913</v>
      </c>
      <c r="G153" s="4" t="n">
        <v>0.5705632340382264</v>
      </c>
      <c r="H153" s="3" t="n">
        <v>71698098.45936689</v>
      </c>
      <c r="I153" s="3" t="n">
        <v>1413504.426088899</v>
      </c>
      <c r="J153" s="4" t="n">
        <v>0.0197146710507248</v>
      </c>
      <c r="K153">
        <f>IF(AND(I153&gt;0,J153&gt;=Assumptions!$B$4),1,0)</f>
        <v/>
      </c>
      <c r="L153" s="3">
        <f>I153*K153</f>
        <v/>
      </c>
      <c r="M153">
        <f>SUM($K$2:K153)</f>
        <v/>
      </c>
    </row>
    <row r="154">
      <c r="A154" t="inlineStr">
        <is>
          <t>370008</t>
        </is>
      </c>
      <c r="B154" t="inlineStr">
        <is>
          <t>Norman Regional</t>
        </is>
      </c>
      <c r="C154" t="inlineStr">
        <is>
          <t>OK</t>
        </is>
      </c>
      <c r="D154" t="inlineStr">
        <is>
          <t>Metropolitan</t>
        </is>
      </c>
      <c r="E154" s="5" t="n">
        <v>2861</v>
      </c>
      <c r="F154" s="4" t="n">
        <v>0.4991261796574624</v>
      </c>
      <c r="G154" s="4" t="n">
        <v>0.5398827562157991</v>
      </c>
      <c r="H154" s="3" t="n">
        <v>45388432.69593075</v>
      </c>
      <c r="I154" s="3" t="n">
        <v>1408391.535270847</v>
      </c>
      <c r="J154" s="4" t="n">
        <v>0.0310297459422324</v>
      </c>
      <c r="K154">
        <f>IF(AND(I154&gt;0,J154&gt;=Assumptions!$B$4),1,0)</f>
        <v/>
      </c>
      <c r="L154" s="3">
        <f>I154*K154</f>
        <v/>
      </c>
      <c r="M154">
        <f>SUM($K$2:K154)</f>
        <v/>
      </c>
    </row>
    <row r="155">
      <c r="A155" t="inlineStr">
        <is>
          <t>100290</t>
        </is>
      </c>
      <c r="B155" t="inlineStr">
        <is>
          <t>Uf Health The Villages Hospital</t>
        </is>
      </c>
      <c r="C155" t="inlineStr">
        <is>
          <t>FL</t>
        </is>
      </c>
      <c r="D155" t="inlineStr">
        <is>
          <t>Metropolitan</t>
        </is>
      </c>
      <c r="E155" s="5" t="n">
        <v>3847</v>
      </c>
      <c r="F155" s="4" t="n">
        <v>0.5521185339225371</v>
      </c>
      <c r="G155" s="4" t="n">
        <v>0.5873080012938526</v>
      </c>
      <c r="H155" s="3" t="n">
        <v>52792883.67164227</v>
      </c>
      <c r="I155" s="3" t="n">
        <v>1407714.660259217</v>
      </c>
      <c r="J155" s="4" t="n">
        <v>0.0266648563661501</v>
      </c>
      <c r="K155">
        <f>IF(AND(I155&gt;0,J155&gt;=Assumptions!$B$4),1,0)</f>
        <v/>
      </c>
      <c r="L155" s="3">
        <f>I155*K155</f>
        <v/>
      </c>
      <c r="M155">
        <f>SUM($K$2:K155)</f>
        <v/>
      </c>
    </row>
    <row r="156">
      <c r="A156" t="inlineStr">
        <is>
          <t>210024</t>
        </is>
      </c>
      <c r="B156" t="inlineStr">
        <is>
          <t>Medstar Union Memorial Hospital</t>
        </is>
      </c>
      <c r="C156" t="inlineStr">
        <is>
          <t>MD</t>
        </is>
      </c>
      <c r="D156" t="inlineStr">
        <is>
          <t>Metropolitan</t>
        </is>
      </c>
      <c r="E156" s="5" t="n">
        <v>2635</v>
      </c>
      <c r="F156" s="4" t="n">
        <v>0.4998102466793169</v>
      </c>
      <c r="G156" s="4" t="n">
        <v>0.5058269308520311</v>
      </c>
      <c r="H156" s="3" t="n">
        <v>53050459.18987245</v>
      </c>
      <c r="I156" s="3" t="n">
        <v>1407472.117605612</v>
      </c>
      <c r="J156" s="4" t="n">
        <v>0.0265308187544266</v>
      </c>
      <c r="K156">
        <f>IF(AND(I156&gt;0,J156&gt;=Assumptions!$B$4),1,0)</f>
        <v/>
      </c>
      <c r="L156" s="3">
        <f>I156*K156</f>
        <v/>
      </c>
      <c r="M156">
        <f>SUM($K$2:K156)</f>
        <v/>
      </c>
    </row>
    <row r="157">
      <c r="A157" t="inlineStr">
        <is>
          <t>360025</t>
        </is>
      </c>
      <c r="B157" t="inlineStr">
        <is>
          <t>Firelands Regional Medical Center</t>
        </is>
      </c>
      <c r="C157" t="inlineStr">
        <is>
          <t>OH</t>
        </is>
      </c>
      <c r="D157" t="inlineStr">
        <is>
          <t>Micropolitan</t>
        </is>
      </c>
      <c r="E157" s="5" t="n">
        <v>1198</v>
      </c>
      <c r="F157" s="4" t="n">
        <v>0.345575959933222</v>
      </c>
      <c r="G157" s="4" t="n">
        <v>0.5419737535335076</v>
      </c>
      <c r="H157" s="3" t="n">
        <v>14094083.31837784</v>
      </c>
      <c r="I157" s="3" t="n">
        <v>1399038.356847335</v>
      </c>
      <c r="J157" s="4" t="n">
        <v>0.0992642320357985</v>
      </c>
      <c r="K157">
        <f>IF(AND(I157&gt;0,J157&gt;=Assumptions!$B$4),1,0)</f>
        <v/>
      </c>
      <c r="L157" s="3">
        <f>I157*K157</f>
        <v/>
      </c>
      <c r="M157">
        <f>SUM($K$2:K157)</f>
        <v/>
      </c>
    </row>
    <row r="158">
      <c r="A158" t="inlineStr">
        <is>
          <t>150169</t>
        </is>
      </c>
      <c r="B158" t="inlineStr">
        <is>
          <t>Community Hospital North</t>
        </is>
      </c>
      <c r="C158" t="inlineStr">
        <is>
          <t>IN</t>
        </is>
      </c>
      <c r="D158" t="inlineStr">
        <is>
          <t>Metropolitan</t>
        </is>
      </c>
      <c r="E158" s="5" t="n">
        <v>2017</v>
      </c>
      <c r="F158" s="4" t="n">
        <v>0.3832424392662369</v>
      </c>
      <c r="G158" s="4" t="n">
        <v>0.4782239192314717</v>
      </c>
      <c r="H158" s="3" t="n">
        <v>32394953.22217257</v>
      </c>
      <c r="I158" s="3" t="n">
        <v>1379400.374482471</v>
      </c>
      <c r="J158" s="4" t="n">
        <v>0.042580718207006</v>
      </c>
      <c r="K158">
        <f>IF(AND(I158&gt;0,J158&gt;=Assumptions!$B$4),1,0)</f>
        <v/>
      </c>
      <c r="L158" s="3">
        <f>I158*K158</f>
        <v/>
      </c>
      <c r="M158">
        <f>SUM($K$2:K158)</f>
        <v/>
      </c>
    </row>
    <row r="159">
      <c r="A159" t="inlineStr">
        <is>
          <t>450231</t>
        </is>
      </c>
      <c r="B159" t="inlineStr">
        <is>
          <t>Bsa Hospital</t>
        </is>
      </c>
      <c r="C159" t="inlineStr">
        <is>
          <t>TX</t>
        </is>
      </c>
      <c r="D159" t="inlineStr">
        <is>
          <t>Metropolitan</t>
        </is>
      </c>
      <c r="E159" s="5" t="n">
        <v>4380</v>
      </c>
      <c r="F159" s="4" t="n">
        <v>0.5002283105022831</v>
      </c>
      <c r="G159" s="4" t="n">
        <v>0.5362765751478846</v>
      </c>
      <c r="H159" s="3" t="n">
        <v>73623748.28719662</v>
      </c>
      <c r="I159" s="3" t="n">
        <v>1377692.362512514</v>
      </c>
      <c r="J159" s="4" t="n">
        <v>0.0187126082896284</v>
      </c>
      <c r="K159">
        <f>IF(AND(I159&gt;0,J159&gt;=Assumptions!$B$4),1,0)</f>
        <v/>
      </c>
      <c r="L159" s="3">
        <f>I159*K159</f>
        <v/>
      </c>
      <c r="M159">
        <f>SUM($K$2:K159)</f>
        <v/>
      </c>
    </row>
    <row r="160">
      <c r="A160" t="inlineStr">
        <is>
          <t>360354</t>
        </is>
      </c>
      <c r="B160" t="inlineStr">
        <is>
          <t>West Chester Hospital, Llc</t>
        </is>
      </c>
      <c r="C160" t="inlineStr">
        <is>
          <t>OH</t>
        </is>
      </c>
      <c r="D160" t="inlineStr">
        <is>
          <t>Metropolitan</t>
        </is>
      </c>
      <c r="E160" s="5" t="n">
        <v>1383</v>
      </c>
      <c r="F160" s="4" t="n">
        <v>0.4352856109906001</v>
      </c>
      <c r="G160" s="4" t="n">
        <v>0.5696005411332089</v>
      </c>
      <c r="H160" s="3" t="n">
        <v>17331402.72464239</v>
      </c>
      <c r="I160" s="3" t="n">
        <v>1372308.511080673</v>
      </c>
      <c r="J160" s="4" t="n">
        <v>0.07918046409073839</v>
      </c>
      <c r="K160">
        <f>IF(AND(I160&gt;0,J160&gt;=Assumptions!$B$4),1,0)</f>
        <v/>
      </c>
      <c r="L160" s="3">
        <f>I160*K160</f>
        <v/>
      </c>
      <c r="M160">
        <f>SUM($K$2:K160)</f>
        <v/>
      </c>
    </row>
    <row r="161">
      <c r="A161" t="inlineStr">
        <is>
          <t>050549</t>
        </is>
      </c>
      <c r="B161" t="inlineStr">
        <is>
          <t>Los Robles Hospital &amp; Medical Center</t>
        </is>
      </c>
      <c r="C161" t="inlineStr">
        <is>
          <t>CA</t>
        </is>
      </c>
      <c r="D161" t="inlineStr">
        <is>
          <t>Metropolitan</t>
        </is>
      </c>
      <c r="E161" s="5" t="n">
        <v>4497</v>
      </c>
      <c r="F161" s="4" t="n">
        <v>0.4938848120969535</v>
      </c>
      <c r="G161" s="4" t="n">
        <v>0.5219092315699746</v>
      </c>
      <c r="H161" s="3" t="n">
        <v>76523378.84957179</v>
      </c>
      <c r="I161" s="3" t="n">
        <v>1363703.641505763</v>
      </c>
      <c r="J161" s="4" t="n">
        <v>0.0178207452677502</v>
      </c>
      <c r="K161">
        <f>IF(AND(I161&gt;0,J161&gt;=Assumptions!$B$4),1,0)</f>
        <v/>
      </c>
      <c r="L161" s="3">
        <f>I161*K161</f>
        <v/>
      </c>
      <c r="M161">
        <f>SUM($K$2:K161)</f>
        <v/>
      </c>
    </row>
    <row r="162">
      <c r="A162" t="inlineStr">
        <is>
          <t>070020</t>
        </is>
      </c>
      <c r="B162" t="inlineStr">
        <is>
          <t>Middlesex Hospital</t>
        </is>
      </c>
      <c r="C162" t="inlineStr">
        <is>
          <t>CT</t>
        </is>
      </c>
      <c r="D162" t="inlineStr">
        <is>
          <t>Metropolitan</t>
        </is>
      </c>
      <c r="E162" s="5" t="n">
        <v>1953</v>
      </c>
      <c r="F162" s="4" t="n">
        <v>0.5007680491551459</v>
      </c>
      <c r="G162" s="4" t="n">
        <v>0.6045778949868663</v>
      </c>
      <c r="H162" s="3" t="n">
        <v>25903057.99791621</v>
      </c>
      <c r="I162" s="3" t="n">
        <v>1354981.572268069</v>
      </c>
      <c r="J162" s="4" t="n">
        <v>0.0523097146436174</v>
      </c>
      <c r="K162">
        <f>IF(AND(I162&gt;0,J162&gt;=Assumptions!$B$4),1,0)</f>
        <v/>
      </c>
      <c r="L162" s="3">
        <f>I162*K162</f>
        <v/>
      </c>
      <c r="M162">
        <f>SUM($K$2:K162)</f>
        <v/>
      </c>
    </row>
    <row r="163">
      <c r="A163" t="inlineStr">
        <is>
          <t>360003</t>
        </is>
      </c>
      <c r="B163" t="inlineStr">
        <is>
          <t>University Of Cincinnati Medical Center, Llc</t>
        </is>
      </c>
      <c r="C163" t="inlineStr">
        <is>
          <t>OH</t>
        </is>
      </c>
      <c r="D163" t="inlineStr">
        <is>
          <t>Metropolitan</t>
        </is>
      </c>
      <c r="E163" s="5" t="n">
        <v>2237</v>
      </c>
      <c r="F163" s="4" t="n">
        <v>0.4255699597675458</v>
      </c>
      <c r="G163" s="4" t="n">
        <v>0.5019283329867503</v>
      </c>
      <c r="H163" s="3" t="n">
        <v>45025242.22309084</v>
      </c>
      <c r="I163" s="3" t="n">
        <v>1351497.307511151</v>
      </c>
      <c r="J163" s="4" t="n">
        <v>0.0300164361318648</v>
      </c>
      <c r="K163">
        <f>IF(AND(I163&gt;0,J163&gt;=Assumptions!$B$4),1,0)</f>
        <v/>
      </c>
      <c r="L163" s="3">
        <f>I163*K163</f>
        <v/>
      </c>
      <c r="M163">
        <f>SUM($K$2:K163)</f>
        <v/>
      </c>
    </row>
    <row r="164">
      <c r="A164" t="inlineStr">
        <is>
          <t>210027</t>
        </is>
      </c>
      <c r="B164" t="inlineStr">
        <is>
          <t>U P M C Western Maryland</t>
        </is>
      </c>
      <c r="C164" t="inlineStr">
        <is>
          <t>MD</t>
        </is>
      </c>
      <c r="D164" t="inlineStr">
        <is>
          <t>Metropolitan</t>
        </is>
      </c>
      <c r="E164" s="5" t="n">
        <v>3082</v>
      </c>
      <c r="F164" s="4" t="n">
        <v>0.5386112913692408</v>
      </c>
      <c r="G164" s="4" t="n">
        <v>0.5896384746915605</v>
      </c>
      <c r="H164" s="3" t="n">
        <v>48846192.18972875</v>
      </c>
      <c r="I164" s="3" t="n">
        <v>1351419.833185196</v>
      </c>
      <c r="J164" s="4" t="n">
        <v>0.0276668410085273</v>
      </c>
      <c r="K164">
        <f>IF(AND(I164&gt;0,J164&gt;=Assumptions!$B$4),1,0)</f>
        <v/>
      </c>
      <c r="L164" s="3">
        <f>I164*K164</f>
        <v/>
      </c>
      <c r="M164">
        <f>SUM($K$2:K164)</f>
        <v/>
      </c>
    </row>
    <row r="165">
      <c r="A165" t="inlineStr">
        <is>
          <t>260065</t>
        </is>
      </c>
      <c r="B165" t="inlineStr">
        <is>
          <t>Mercy Hospital Springfield</t>
        </is>
      </c>
      <c r="C165" t="inlineStr">
        <is>
          <t>MO</t>
        </is>
      </c>
      <c r="D165" t="inlineStr">
        <is>
          <t>Metropolitan</t>
        </is>
      </c>
      <c r="E165" s="5" t="n">
        <v>3952</v>
      </c>
      <c r="F165" s="4" t="n">
        <v>0.5253036437246964</v>
      </c>
      <c r="G165" s="4" t="n">
        <v>0.5473819467051073</v>
      </c>
      <c r="H165" s="3" t="n">
        <v>68787044.26481907</v>
      </c>
      <c r="I165" s="3" t="n">
        <v>1334794.612079695</v>
      </c>
      <c r="J165" s="4" t="n">
        <v>0.019404738586251</v>
      </c>
      <c r="K165">
        <f>IF(AND(I165&gt;0,J165&gt;=Assumptions!$B$4),1,0)</f>
        <v/>
      </c>
      <c r="L165" s="3">
        <f>I165*K165</f>
        <v/>
      </c>
      <c r="M165">
        <f>SUM($K$2:K165)</f>
        <v/>
      </c>
    </row>
    <row r="166">
      <c r="A166" t="inlineStr">
        <is>
          <t>030105</t>
        </is>
      </c>
      <c r="B166" t="inlineStr">
        <is>
          <t>Banner Heart Hospital</t>
        </is>
      </c>
      <c r="C166" t="inlineStr">
        <is>
          <t>AZ</t>
        </is>
      </c>
      <c r="D166" t="inlineStr">
        <is>
          <t>Metropolitan</t>
        </is>
      </c>
      <c r="E166" s="5" t="n">
        <v>1022</v>
      </c>
      <c r="F166" s="4" t="n">
        <v>0.3767123287671233</v>
      </c>
      <c r="G166" s="4" t="n">
        <v>0.4571023480304746</v>
      </c>
      <c r="H166" s="3" t="n">
        <v>24634789.6162968</v>
      </c>
      <c r="I166" s="3" t="n">
        <v>1333584.11972072</v>
      </c>
      <c r="J166" s="4" t="n">
        <v>0.0541341793655305</v>
      </c>
      <c r="K166">
        <f>IF(AND(I166&gt;0,J166&gt;=Assumptions!$B$4),1,0)</f>
        <v/>
      </c>
      <c r="L166" s="3">
        <f>I166*K166</f>
        <v/>
      </c>
      <c r="M166">
        <f>SUM($K$2:K166)</f>
        <v/>
      </c>
    </row>
    <row r="167">
      <c r="A167" t="inlineStr">
        <is>
          <t>310075</t>
        </is>
      </c>
      <c r="B167" t="inlineStr">
        <is>
          <t>Monmouth Medical Center</t>
        </is>
      </c>
      <c r="C167" t="inlineStr">
        <is>
          <t>NJ</t>
        </is>
      </c>
      <c r="D167" t="inlineStr">
        <is>
          <t>Metropolitan</t>
        </is>
      </c>
      <c r="E167" s="5" t="n">
        <v>1456</v>
      </c>
      <c r="F167" s="4" t="n">
        <v>0.4697802197802198</v>
      </c>
      <c r="G167" s="4" t="n">
        <v>0.5281277217649639</v>
      </c>
      <c r="H167" s="3" t="n">
        <v>23050575.99145574</v>
      </c>
      <c r="I167" s="3" t="n">
        <v>1331838.942866787</v>
      </c>
      <c r="J167" s="4" t="n">
        <v>0.0577789875342145</v>
      </c>
      <c r="K167">
        <f>IF(AND(I167&gt;0,J167&gt;=Assumptions!$B$4),1,0)</f>
        <v/>
      </c>
      <c r="L167" s="3">
        <f>I167*K167</f>
        <v/>
      </c>
      <c r="M167">
        <f>SUM($K$2:K167)</f>
        <v/>
      </c>
    </row>
    <row r="168">
      <c r="A168" t="inlineStr">
        <is>
          <t>510058</t>
        </is>
      </c>
      <c r="B168" t="inlineStr">
        <is>
          <t>Camden Clark Medical Center</t>
        </is>
      </c>
      <c r="C168" t="inlineStr">
        <is>
          <t>WV</t>
        </is>
      </c>
      <c r="D168" t="inlineStr">
        <is>
          <t>Metropolitan</t>
        </is>
      </c>
      <c r="E168" s="5" t="n">
        <v>2636</v>
      </c>
      <c r="F168" s="4" t="n">
        <v>0.5204855842185129</v>
      </c>
      <c r="G168" s="4" t="n">
        <v>0.5757712217225454</v>
      </c>
      <c r="H168" s="3" t="n">
        <v>35538129.99482522</v>
      </c>
      <c r="I168" s="3" t="n">
        <v>1331446.355961956</v>
      </c>
      <c r="J168" s="4" t="n">
        <v>0.0374652902714867</v>
      </c>
      <c r="K168">
        <f>IF(AND(I168&gt;0,J168&gt;=Assumptions!$B$4),1,0)</f>
        <v/>
      </c>
      <c r="L168" s="3">
        <f>I168*K168</f>
        <v/>
      </c>
      <c r="M168">
        <f>SUM($K$2:K168)</f>
        <v/>
      </c>
    </row>
    <row r="169">
      <c r="A169" t="inlineStr">
        <is>
          <t>210022</t>
        </is>
      </c>
      <c r="B169" t="inlineStr">
        <is>
          <t>Suburban Hospital</t>
        </is>
      </c>
      <c r="C169" t="inlineStr">
        <is>
          <t>MD</t>
        </is>
      </c>
      <c r="D169" t="inlineStr">
        <is>
          <t>Metropolitan</t>
        </is>
      </c>
      <c r="E169" s="5" t="n">
        <v>4564</v>
      </c>
      <c r="F169" s="4" t="n">
        <v>0.5374671340929009</v>
      </c>
      <c r="G169" s="4" t="n">
        <v>0.5679498436850398</v>
      </c>
      <c r="H169" s="3" t="n">
        <v>71135314.93815635</v>
      </c>
      <c r="I169" s="3" t="n">
        <v>1319435.498861045</v>
      </c>
      <c r="J169" s="4" t="n">
        <v>0.0185482485036881</v>
      </c>
      <c r="K169">
        <f>IF(AND(I169&gt;0,J169&gt;=Assumptions!$B$4),1,0)</f>
        <v/>
      </c>
      <c r="L169" s="3">
        <f>I169*K169</f>
        <v/>
      </c>
      <c r="M169">
        <f>SUM($K$2:K169)</f>
        <v/>
      </c>
    </row>
    <row r="170">
      <c r="A170" t="inlineStr">
        <is>
          <t>390107</t>
        </is>
      </c>
      <c r="B170" t="inlineStr">
        <is>
          <t>Upmc Passavant</t>
        </is>
      </c>
      <c r="C170" t="inlineStr">
        <is>
          <t>PA</t>
        </is>
      </c>
      <c r="D170" t="inlineStr">
        <is>
          <t>Metropolitan</t>
        </is>
      </c>
      <c r="E170" s="5" t="n">
        <v>1813</v>
      </c>
      <c r="F170" s="4" t="n">
        <v>0.4037506894649751</v>
      </c>
      <c r="G170" s="4" t="n">
        <v>0.5022654133828088</v>
      </c>
      <c r="H170" s="3" t="n">
        <v>28962049.71111658</v>
      </c>
      <c r="I170" s="3" t="n">
        <v>1310848.444160249</v>
      </c>
      <c r="J170" s="4" t="n">
        <v>0.0452609002897023</v>
      </c>
      <c r="K170">
        <f>IF(AND(I170&gt;0,J170&gt;=Assumptions!$B$4),1,0)</f>
        <v/>
      </c>
      <c r="L170" s="3">
        <f>I170*K170</f>
        <v/>
      </c>
      <c r="M170">
        <f>SUM($K$2:K170)</f>
        <v/>
      </c>
    </row>
    <row r="171">
      <c r="A171" t="inlineStr">
        <is>
          <t>330057</t>
        </is>
      </c>
      <c r="B171" t="inlineStr">
        <is>
          <t>St Peter's Hospital</t>
        </is>
      </c>
      <c r="C171" t="inlineStr">
        <is>
          <t>NY</t>
        </is>
      </c>
      <c r="D171" t="inlineStr">
        <is>
          <t>Metropolitan</t>
        </is>
      </c>
      <c r="E171" s="5" t="n">
        <v>4105</v>
      </c>
      <c r="F171" s="4" t="n">
        <v>0.5524969549330085</v>
      </c>
      <c r="G171" s="4" t="n">
        <v>0.5613185138058758</v>
      </c>
      <c r="H171" s="3" t="n">
        <v>73094786.54522902</v>
      </c>
      <c r="I171" s="3" t="n">
        <v>1306081.03060928</v>
      </c>
      <c r="J171" s="4" t="n">
        <v>0.0178683199218471</v>
      </c>
      <c r="K171">
        <f>IF(AND(I171&gt;0,J171&gt;=Assumptions!$B$4),1,0)</f>
        <v/>
      </c>
      <c r="L171" s="3">
        <f>I171*K171</f>
        <v/>
      </c>
      <c r="M171">
        <f>SUM($K$2:K171)</f>
        <v/>
      </c>
    </row>
    <row r="172">
      <c r="A172" t="inlineStr">
        <is>
          <t>500051</t>
        </is>
      </c>
      <c r="B172" t="inlineStr">
        <is>
          <t>Overlake Hospital Medical Center</t>
        </is>
      </c>
      <c r="C172" t="inlineStr">
        <is>
          <t>WA</t>
        </is>
      </c>
      <c r="D172" t="inlineStr">
        <is>
          <t>Metropolitan</t>
        </is>
      </c>
      <c r="E172" s="5" t="n">
        <v>1965</v>
      </c>
      <c r="F172" s="4" t="n">
        <v>0.4503816793893129</v>
      </c>
      <c r="G172" s="4" t="n">
        <v>0.5277544779424529</v>
      </c>
      <c r="H172" s="3" t="n">
        <v>32803800.61490596</v>
      </c>
      <c r="I172" s="3" t="n">
        <v>1299882.132735197</v>
      </c>
      <c r="J172" s="4" t="n">
        <v>0.039625961271833</v>
      </c>
      <c r="K172">
        <f>IF(AND(I172&gt;0,J172&gt;=Assumptions!$B$4),1,0)</f>
        <v/>
      </c>
      <c r="L172" s="3">
        <f>I172*K172</f>
        <v/>
      </c>
      <c r="M172">
        <f>SUM($K$2:K172)</f>
        <v/>
      </c>
    </row>
    <row r="173">
      <c r="A173" t="inlineStr">
        <is>
          <t>390203</t>
        </is>
      </c>
      <c r="B173" t="inlineStr">
        <is>
          <t>Doylestown Hospital</t>
        </is>
      </c>
      <c r="C173" t="inlineStr">
        <is>
          <t>PA</t>
        </is>
      </c>
      <c r="D173" t="inlineStr">
        <is>
          <t>Metropolitan</t>
        </is>
      </c>
      <c r="E173" s="5" t="n">
        <v>3788</v>
      </c>
      <c r="F173" s="4" t="n">
        <v>0.5543822597676874</v>
      </c>
      <c r="G173" s="4" t="n">
        <v>0.5903690869699637</v>
      </c>
      <c r="H173" s="3" t="n">
        <v>61299311.7172704</v>
      </c>
      <c r="I173" s="3" t="n">
        <v>1292118.143184341</v>
      </c>
      <c r="J173" s="4" t="n">
        <v>0.0210788360747662</v>
      </c>
      <c r="K173">
        <f>IF(AND(I173&gt;0,J173&gt;=Assumptions!$B$4),1,0)</f>
        <v/>
      </c>
      <c r="L173" s="3">
        <f>I173*K173</f>
        <v/>
      </c>
      <c r="M173">
        <f>SUM($K$2:K173)</f>
        <v/>
      </c>
    </row>
    <row r="174">
      <c r="A174" t="inlineStr">
        <is>
          <t>110006</t>
        </is>
      </c>
      <c r="B174" t="inlineStr">
        <is>
          <t>St Mary's Hospital</t>
        </is>
      </c>
      <c r="C174" t="inlineStr">
        <is>
          <t>GA</t>
        </is>
      </c>
      <c r="D174" t="inlineStr">
        <is>
          <t>Metropolitan</t>
        </is>
      </c>
      <c r="E174" s="5" t="n">
        <v>1109</v>
      </c>
      <c r="F174" s="4" t="n">
        <v>0.4030658250676285</v>
      </c>
      <c r="G174" s="4" t="n">
        <v>0.4822245439732974</v>
      </c>
      <c r="H174" s="3" t="n">
        <v>23168551.57422304</v>
      </c>
      <c r="I174" s="3" t="n">
        <v>1284936.68367495</v>
      </c>
      <c r="J174" s="4" t="n">
        <v>0.0554603804022237</v>
      </c>
      <c r="K174">
        <f>IF(AND(I174&gt;0,J174&gt;=Assumptions!$B$4),1,0)</f>
        <v/>
      </c>
      <c r="L174" s="3">
        <f>I174*K174</f>
        <v/>
      </c>
      <c r="M174">
        <f>SUM($K$2:K174)</f>
        <v/>
      </c>
    </row>
    <row r="175">
      <c r="A175" t="inlineStr">
        <is>
          <t>100243</t>
        </is>
      </c>
      <c r="B175" t="inlineStr">
        <is>
          <t>Hca Florida Brandon Hospital</t>
        </is>
      </c>
      <c r="C175" t="inlineStr">
        <is>
          <t>FL</t>
        </is>
      </c>
      <c r="D175" t="inlineStr">
        <is>
          <t>Metropolitan</t>
        </is>
      </c>
      <c r="E175" s="5" t="n">
        <v>2306</v>
      </c>
      <c r="F175" s="4" t="n">
        <v>0.4908933217692975</v>
      </c>
      <c r="G175" s="4" t="n">
        <v>0.5429831539810733</v>
      </c>
      <c r="H175" s="3" t="n">
        <v>37572270.80444302</v>
      </c>
      <c r="I175" s="3" t="n">
        <v>1284761.857600875</v>
      </c>
      <c r="J175" s="4" t="n">
        <v>0.0341944159906605</v>
      </c>
      <c r="K175">
        <f>IF(AND(I175&gt;0,J175&gt;=Assumptions!$B$4),1,0)</f>
        <v/>
      </c>
      <c r="L175" s="3">
        <f>I175*K175</f>
        <v/>
      </c>
      <c r="M175">
        <f>SUM($K$2:K175)</f>
        <v/>
      </c>
    </row>
    <row r="176">
      <c r="A176" t="inlineStr">
        <is>
          <t>190002</t>
        </is>
      </c>
      <c r="B176" t="inlineStr">
        <is>
          <t>Ochsner Lafayette General Medical Center</t>
        </is>
      </c>
      <c r="C176" t="inlineStr">
        <is>
          <t>LA</t>
        </is>
      </c>
      <c r="D176" t="inlineStr">
        <is>
          <t>Metropolitan</t>
        </is>
      </c>
      <c r="E176" s="5" t="n">
        <v>3226</v>
      </c>
      <c r="F176" s="4" t="n">
        <v>0.4872907625542467</v>
      </c>
      <c r="G176" s="4" t="n">
        <v>0.5287130082752612</v>
      </c>
      <c r="H176" s="3" t="n">
        <v>56752840.13410958</v>
      </c>
      <c r="I176" s="3" t="n">
        <v>1283030.576157615</v>
      </c>
      <c r="J176" s="4" t="n">
        <v>0.0226073368861497</v>
      </c>
      <c r="K176">
        <f>IF(AND(I176&gt;0,J176&gt;=Assumptions!$B$4),1,0)</f>
        <v/>
      </c>
      <c r="L176" s="3">
        <f>I176*K176</f>
        <v/>
      </c>
      <c r="M176">
        <f>SUM($K$2:K176)</f>
        <v/>
      </c>
    </row>
    <row r="177">
      <c r="A177" t="inlineStr">
        <is>
          <t>510007</t>
        </is>
      </c>
      <c r="B177" t="inlineStr">
        <is>
          <t>St Mary's Medical Center</t>
        </is>
      </c>
      <c r="C177" t="inlineStr">
        <is>
          <t>WV</t>
        </is>
      </c>
      <c r="D177" t="inlineStr">
        <is>
          <t>Metropolitan</t>
        </is>
      </c>
      <c r="E177" s="5" t="n">
        <v>2563</v>
      </c>
      <c r="F177" s="4" t="n">
        <v>0.4955130706203667</v>
      </c>
      <c r="G177" s="4" t="n">
        <v>0.5620279960271243</v>
      </c>
      <c r="H177" s="3" t="n">
        <v>43367678.49782711</v>
      </c>
      <c r="I177" s="3" t="n">
        <v>1268477.214375876</v>
      </c>
      <c r="J177" s="4" t="n">
        <v>0.0292493686153717</v>
      </c>
      <c r="K177">
        <f>IF(AND(I177&gt;0,J177&gt;=Assumptions!$B$4),1,0)</f>
        <v/>
      </c>
      <c r="L177" s="3">
        <f>I177*K177</f>
        <v/>
      </c>
      <c r="M177">
        <f>SUM($K$2:K177)</f>
        <v/>
      </c>
    </row>
    <row r="178">
      <c r="A178" t="inlineStr">
        <is>
          <t>230302</t>
        </is>
      </c>
      <c r="B178" t="inlineStr">
        <is>
          <t>Henry Ford Health West Bloomfield Hospital</t>
        </is>
      </c>
      <c r="C178" t="inlineStr">
        <is>
          <t>MI</t>
        </is>
      </c>
      <c r="D178" t="inlineStr">
        <is>
          <t>Metropolitan</t>
        </is>
      </c>
      <c r="E178" s="5" t="n">
        <v>2311</v>
      </c>
      <c r="F178" s="4" t="n">
        <v>0.5144958892254435</v>
      </c>
      <c r="G178" s="4" t="n">
        <v>0.5698881086367714</v>
      </c>
      <c r="H178" s="3" t="n">
        <v>34385568.25468464</v>
      </c>
      <c r="I178" s="3" t="n">
        <v>1267891.230329096</v>
      </c>
      <c r="J178" s="4" t="n">
        <v>0.0368727723485087</v>
      </c>
      <c r="K178">
        <f>IF(AND(I178&gt;0,J178&gt;=Assumptions!$B$4),1,0)</f>
        <v/>
      </c>
      <c r="L178" s="3">
        <f>I178*K178</f>
        <v/>
      </c>
      <c r="M178">
        <f>SUM($K$2:K178)</f>
        <v/>
      </c>
    </row>
    <row r="179">
      <c r="A179" t="inlineStr">
        <is>
          <t>410012</t>
        </is>
      </c>
      <c r="B179" t="inlineStr">
        <is>
          <t>The Miriam Hospital</t>
        </is>
      </c>
      <c r="C179" t="inlineStr">
        <is>
          <t>RI</t>
        </is>
      </c>
      <c r="D179" t="inlineStr">
        <is>
          <t>Metropolitan</t>
        </is>
      </c>
      <c r="E179" s="5" t="n">
        <v>2872</v>
      </c>
      <c r="F179" s="4" t="n">
        <v>0.4801532033426184</v>
      </c>
      <c r="G179" s="4" t="n">
        <v>0.5435608541164073</v>
      </c>
      <c r="H179" s="3" t="n">
        <v>43468223.94626268</v>
      </c>
      <c r="I179" s="3" t="n">
        <v>1265738.206625491</v>
      </c>
      <c r="J179" s="4" t="n">
        <v>0.0291187007822139</v>
      </c>
      <c r="K179">
        <f>IF(AND(I179&gt;0,J179&gt;=Assumptions!$B$4),1,0)</f>
        <v/>
      </c>
      <c r="L179" s="3">
        <f>I179*K179</f>
        <v/>
      </c>
      <c r="M179">
        <f>SUM($K$2:K179)</f>
        <v/>
      </c>
    </row>
    <row r="180">
      <c r="A180" t="inlineStr">
        <is>
          <t>500005</t>
        </is>
      </c>
      <c r="B180" t="inlineStr">
        <is>
          <t>Virginia Mason Medical Center</t>
        </is>
      </c>
      <c r="C180" t="inlineStr">
        <is>
          <t>WA</t>
        </is>
      </c>
      <c r="D180" t="inlineStr">
        <is>
          <t>Metropolitan</t>
        </is>
      </c>
      <c r="E180" s="5" t="n">
        <v>2607</v>
      </c>
      <c r="F180" s="4" t="n">
        <v>0.4487917146144994</v>
      </c>
      <c r="G180" s="4" t="n">
        <v>0.4720988824576271</v>
      </c>
      <c r="H180" s="3" t="n">
        <v>60883566.28800362</v>
      </c>
      <c r="I180" s="3" t="n">
        <v>1263326.804113783</v>
      </c>
      <c r="J180" s="4" t="n">
        <v>0.0207498818012358</v>
      </c>
      <c r="K180">
        <f>IF(AND(I180&gt;0,J180&gt;=Assumptions!$B$4),1,0)</f>
        <v/>
      </c>
      <c r="L180" s="3">
        <f>I180*K180</f>
        <v/>
      </c>
      <c r="M180">
        <f>SUM($K$2:K180)</f>
        <v/>
      </c>
    </row>
    <row r="181">
      <c r="A181" t="inlineStr">
        <is>
          <t>390001</t>
        </is>
      </c>
      <c r="B181" t="inlineStr">
        <is>
          <t>Geisinger Community Medical Center</t>
        </is>
      </c>
      <c r="C181" t="inlineStr">
        <is>
          <t>PA</t>
        </is>
      </c>
      <c r="D181" t="inlineStr">
        <is>
          <t>Metropolitan</t>
        </is>
      </c>
      <c r="E181" s="5" t="n">
        <v>3320</v>
      </c>
      <c r="F181" s="4" t="n">
        <v>0.5310240963855422</v>
      </c>
      <c r="G181" s="4" t="n">
        <v>0.5813180202627507</v>
      </c>
      <c r="H181" s="3" t="n">
        <v>54310695.78688034</v>
      </c>
      <c r="I181" s="3" t="n">
        <v>1260082.882413551</v>
      </c>
      <c r="J181" s="4" t="n">
        <v>0.0232013761590943</v>
      </c>
      <c r="K181">
        <f>IF(AND(I181&gt;0,J181&gt;=Assumptions!$B$4),1,0)</f>
        <v/>
      </c>
      <c r="L181" s="3">
        <f>I181*K181</f>
        <v/>
      </c>
      <c r="M181">
        <f>SUM($K$2:K181)</f>
        <v/>
      </c>
    </row>
    <row r="182">
      <c r="A182" t="inlineStr">
        <is>
          <t>100090</t>
        </is>
      </c>
      <c r="B182" t="inlineStr">
        <is>
          <t>Flagler Hospital</t>
        </is>
      </c>
      <c r="C182" t="inlineStr">
        <is>
          <t>FL</t>
        </is>
      </c>
      <c r="D182" t="inlineStr">
        <is>
          <t>Metropolitan</t>
        </is>
      </c>
      <c r="E182" s="5" t="n">
        <v>2615</v>
      </c>
      <c r="F182" s="4" t="n">
        <v>0.4921606118546845</v>
      </c>
      <c r="G182" s="4" t="n">
        <v>0.5410362227454126</v>
      </c>
      <c r="H182" s="3" t="n">
        <v>43584149.75505082</v>
      </c>
      <c r="I182" s="3" t="n">
        <v>1253777.359460704</v>
      </c>
      <c r="J182" s="4" t="n">
        <v>0.0287668192796489</v>
      </c>
      <c r="K182">
        <f>IF(AND(I182&gt;0,J182&gt;=Assumptions!$B$4),1,0)</f>
        <v/>
      </c>
      <c r="L182" s="3">
        <f>I182*K182</f>
        <v/>
      </c>
      <c r="M182">
        <f>SUM($K$2:K182)</f>
        <v/>
      </c>
    </row>
    <row r="183">
      <c r="A183" t="inlineStr">
        <is>
          <t>390139</t>
        </is>
      </c>
      <c r="B183" t="inlineStr">
        <is>
          <t>Bryn Mawr Hospital, The</t>
        </is>
      </c>
      <c r="C183" t="inlineStr">
        <is>
          <t>PA</t>
        </is>
      </c>
      <c r="D183" t="inlineStr">
        <is>
          <t>Metropolitan</t>
        </is>
      </c>
      <c r="E183" s="5" t="n">
        <v>3125</v>
      </c>
      <c r="F183" s="4" t="n">
        <v>0.51584</v>
      </c>
      <c r="G183" s="4" t="n">
        <v>0.5654615065782597</v>
      </c>
      <c r="H183" s="3" t="n">
        <v>48154935.38297999</v>
      </c>
      <c r="I183" s="3" t="n">
        <v>1252346.383522294</v>
      </c>
      <c r="J183" s="4" t="n">
        <v>0.0260066050044981</v>
      </c>
      <c r="K183">
        <f>IF(AND(I183&gt;0,J183&gt;=Assumptions!$B$4),1,0)</f>
        <v/>
      </c>
      <c r="L183" s="3">
        <f>I183*K183</f>
        <v/>
      </c>
      <c r="M183">
        <f>SUM($K$2:K183)</f>
        <v/>
      </c>
    </row>
    <row r="184">
      <c r="A184" t="inlineStr">
        <is>
          <t>230017</t>
        </is>
      </c>
      <c r="B184" t="inlineStr">
        <is>
          <t>Bronson Methodist Hospital</t>
        </is>
      </c>
      <c r="C184" t="inlineStr">
        <is>
          <t>MI</t>
        </is>
      </c>
      <c r="D184" t="inlineStr">
        <is>
          <t>Metropolitan</t>
        </is>
      </c>
      <c r="E184" s="5" t="n">
        <v>3083</v>
      </c>
      <c r="F184" s="4" t="n">
        <v>0.4618877716509893</v>
      </c>
      <c r="G184" s="4" t="n">
        <v>0.5092297793650483</v>
      </c>
      <c r="H184" s="3" t="n">
        <v>54597316.83934473</v>
      </c>
      <c r="I184" s="3" t="n">
        <v>1250056.563251741</v>
      </c>
      <c r="J184" s="4" t="n">
        <v>0.0228959340058797</v>
      </c>
      <c r="K184">
        <f>IF(AND(I184&gt;0,J184&gt;=Assumptions!$B$4),1,0)</f>
        <v/>
      </c>
      <c r="L184" s="3">
        <f>I184*K184</f>
        <v/>
      </c>
      <c r="M184">
        <f>SUM($K$2:K184)</f>
        <v/>
      </c>
    </row>
    <row r="185">
      <c r="A185" t="inlineStr">
        <is>
          <t>270004</t>
        </is>
      </c>
      <c r="B185" t="inlineStr">
        <is>
          <t>Billings Clinic Hospital</t>
        </is>
      </c>
      <c r="C185" t="inlineStr">
        <is>
          <t>MT</t>
        </is>
      </c>
      <c r="D185" t="inlineStr">
        <is>
          <t>Metropolitan</t>
        </is>
      </c>
      <c r="E185" s="5" t="n">
        <v>3114</v>
      </c>
      <c r="F185" s="4" t="n">
        <v>0.4942196531791907</v>
      </c>
      <c r="G185" s="4" t="n">
        <v>0.5210050601616124</v>
      </c>
      <c r="H185" s="3" t="n">
        <v>60204603.26142798</v>
      </c>
      <c r="I185" s="3" t="n">
        <v>1240938.752109185</v>
      </c>
      <c r="J185" s="4" t="n">
        <v>0.0206120244114993</v>
      </c>
      <c r="K185">
        <f>IF(AND(I185&gt;0,J185&gt;=Assumptions!$B$4),1,0)</f>
        <v/>
      </c>
      <c r="L185" s="3">
        <f>I185*K185</f>
        <v/>
      </c>
      <c r="M185">
        <f>SUM($K$2:K185)</f>
        <v/>
      </c>
    </row>
    <row r="186">
      <c r="A186" t="inlineStr">
        <is>
          <t>420027</t>
        </is>
      </c>
      <c r="B186" t="inlineStr">
        <is>
          <t>Anmed Health</t>
        </is>
      </c>
      <c r="C186" t="inlineStr">
        <is>
          <t>SC</t>
        </is>
      </c>
      <c r="D186" t="inlineStr">
        <is>
          <t>Metropolitan</t>
        </is>
      </c>
      <c r="E186" s="5" t="n">
        <v>3208</v>
      </c>
      <c r="F186" s="4" t="n">
        <v>0.5130922693266833</v>
      </c>
      <c r="G186" s="4" t="n">
        <v>0.5556166215216254</v>
      </c>
      <c r="H186" s="3" t="n">
        <v>49788535.9253206</v>
      </c>
      <c r="I186" s="3" t="n">
        <v>1222131.453235947</v>
      </c>
      <c r="J186" s="4" t="n">
        <v>0.0245464428813303</v>
      </c>
      <c r="K186">
        <f>IF(AND(I186&gt;0,J186&gt;=Assumptions!$B$4),1,0)</f>
        <v/>
      </c>
      <c r="L186" s="3">
        <f>I186*K186</f>
        <v/>
      </c>
      <c r="M186">
        <f>SUM($K$2:K186)</f>
        <v/>
      </c>
    </row>
    <row r="187">
      <c r="A187" t="inlineStr">
        <is>
          <t>050180</t>
        </is>
      </c>
      <c r="B187" t="inlineStr">
        <is>
          <t>John Muir Medical Center - Walnut Creek Campus</t>
        </is>
      </c>
      <c r="C187" t="inlineStr">
        <is>
          <t>CA</t>
        </is>
      </c>
      <c r="D187" t="inlineStr">
        <is>
          <t>Metropolitan</t>
        </is>
      </c>
      <c r="E187" s="5" t="n">
        <v>4387</v>
      </c>
      <c r="F187" s="4" t="n">
        <v>0.5206291315249602</v>
      </c>
      <c r="G187" s="4" t="n">
        <v>0.5463604875267963</v>
      </c>
      <c r="H187" s="3" t="n">
        <v>71614349.60231043</v>
      </c>
      <c r="I187" s="3" t="n">
        <v>1217498.203628153</v>
      </c>
      <c r="J187" s="4" t="n">
        <v>0.017000757674812</v>
      </c>
      <c r="K187">
        <f>IF(AND(I187&gt;0,J187&gt;=Assumptions!$B$4),1,0)</f>
        <v/>
      </c>
      <c r="L187" s="3">
        <f>I187*K187</f>
        <v/>
      </c>
      <c r="M187">
        <f>SUM($K$2:K187)</f>
        <v/>
      </c>
    </row>
    <row r="188">
      <c r="A188" t="inlineStr">
        <is>
          <t>150074</t>
        </is>
      </c>
      <c r="B188" t="inlineStr">
        <is>
          <t>Community Hospital East</t>
        </is>
      </c>
      <c r="C188" t="inlineStr">
        <is>
          <t>IN</t>
        </is>
      </c>
      <c r="D188" t="inlineStr">
        <is>
          <t>Metropolitan</t>
        </is>
      </c>
      <c r="E188" s="5" t="n">
        <v>1916</v>
      </c>
      <c r="F188" s="4" t="n">
        <v>0.4050104384133611</v>
      </c>
      <c r="G188" s="4" t="n">
        <v>0.4747771398793118</v>
      </c>
      <c r="H188" s="3" t="n">
        <v>37073280.17162589</v>
      </c>
      <c r="I188" s="3" t="n">
        <v>1206912.090219244</v>
      </c>
      <c r="J188" s="4" t="n">
        <v>0.0325547694898321</v>
      </c>
      <c r="K188">
        <f>IF(AND(I188&gt;0,J188&gt;=Assumptions!$B$4),1,0)</f>
        <v/>
      </c>
      <c r="L188" s="3">
        <f>I188*K188</f>
        <v/>
      </c>
      <c r="M188">
        <f>SUM($K$2:K188)</f>
        <v/>
      </c>
    </row>
    <row r="189">
      <c r="A189" t="inlineStr">
        <is>
          <t>030092</t>
        </is>
      </c>
      <c r="B189" t="inlineStr">
        <is>
          <t>Honorhealth Deer Valley Medical Center</t>
        </is>
      </c>
      <c r="C189" t="inlineStr">
        <is>
          <t>AZ</t>
        </is>
      </c>
      <c r="D189" t="inlineStr">
        <is>
          <t>Metropolitan</t>
        </is>
      </c>
      <c r="E189" s="5" t="n">
        <v>1955</v>
      </c>
      <c r="F189" s="4" t="n">
        <v>0.4736572890025575</v>
      </c>
      <c r="G189" s="4" t="n">
        <v>0.5242940912705124</v>
      </c>
      <c r="H189" s="3" t="n">
        <v>35479533.16616935</v>
      </c>
      <c r="I189" s="3" t="n">
        <v>1206799.066352785</v>
      </c>
      <c r="J189" s="4" t="n">
        <v>0.0340139499778846</v>
      </c>
      <c r="K189">
        <f>IF(AND(I189&gt;0,J189&gt;=Assumptions!$B$4),1,0)</f>
        <v/>
      </c>
      <c r="L189" s="3">
        <f>I189*K189</f>
        <v/>
      </c>
      <c r="M189">
        <f>SUM($K$2:K189)</f>
        <v/>
      </c>
    </row>
    <row r="190">
      <c r="A190" t="inlineStr">
        <is>
          <t>330241</t>
        </is>
      </c>
      <c r="B190" t="inlineStr">
        <is>
          <t>University Hospital S U N Y Health Science Center</t>
        </is>
      </c>
      <c r="C190" t="inlineStr">
        <is>
          <t>NY</t>
        </is>
      </c>
      <c r="D190" t="inlineStr">
        <is>
          <t>Metropolitan</t>
        </is>
      </c>
      <c r="E190" s="5" t="n">
        <v>3740</v>
      </c>
      <c r="F190" s="4" t="n">
        <v>0.4871657754010695</v>
      </c>
      <c r="G190" s="4" t="n">
        <v>0.538230381225947</v>
      </c>
      <c r="H190" s="3" t="n">
        <v>62348525.58135072</v>
      </c>
      <c r="I190" s="3" t="n">
        <v>1203680.623111472</v>
      </c>
      <c r="J190" s="4" t="n">
        <v>0.0193056790339162</v>
      </c>
      <c r="K190">
        <f>IF(AND(I190&gt;0,J190&gt;=Assumptions!$B$4),1,0)</f>
        <v/>
      </c>
      <c r="L190" s="3">
        <f>I190*K190</f>
        <v/>
      </c>
      <c r="M190">
        <f>SUM($K$2:K190)</f>
        <v/>
      </c>
    </row>
    <row r="191">
      <c r="A191" t="inlineStr">
        <is>
          <t>050026</t>
        </is>
      </c>
      <c r="B191" t="inlineStr">
        <is>
          <t>Grossmont Hospital</t>
        </is>
      </c>
      <c r="C191" t="inlineStr">
        <is>
          <t>CA</t>
        </is>
      </c>
      <c r="D191" t="inlineStr">
        <is>
          <t>Metropolitan</t>
        </is>
      </c>
      <c r="E191" s="5" t="n">
        <v>4559</v>
      </c>
      <c r="F191" s="4" t="n">
        <v>0.5137091467427067</v>
      </c>
      <c r="G191" s="4" t="n">
        <v>0.5546093674482703</v>
      </c>
      <c r="H191" s="3" t="n">
        <v>68557171.54433306</v>
      </c>
      <c r="I191" s="3" t="n">
        <v>1202082.832488507</v>
      </c>
      <c r="J191" s="4" t="n">
        <v>0.0175340202258952</v>
      </c>
      <c r="K191">
        <f>IF(AND(I191&gt;0,J191&gt;=Assumptions!$B$4),1,0)</f>
        <v/>
      </c>
      <c r="L191" s="3">
        <f>I191*K191</f>
        <v/>
      </c>
      <c r="M191">
        <f>SUM($K$2:K191)</f>
        <v/>
      </c>
    </row>
    <row r="192">
      <c r="A192" t="inlineStr">
        <is>
          <t>100062</t>
        </is>
      </c>
      <c r="B192" t="inlineStr">
        <is>
          <t>Adventhealth Ocala</t>
        </is>
      </c>
      <c r="C192" t="inlineStr">
        <is>
          <t>FL</t>
        </is>
      </c>
      <c r="D192" t="inlineStr">
        <is>
          <t>Metropolitan</t>
        </is>
      </c>
      <c r="E192" s="5" t="n">
        <v>2881</v>
      </c>
      <c r="F192" s="4" t="n">
        <v>0.5383547379382159</v>
      </c>
      <c r="G192" s="4" t="n">
        <v>0.5693250573526453</v>
      </c>
      <c r="H192" s="3" t="n">
        <v>43455427.7484422</v>
      </c>
      <c r="I192" s="3" t="n">
        <v>1197489.772378273</v>
      </c>
      <c r="J192" s="4" t="n">
        <v>0.0275567365096573</v>
      </c>
      <c r="K192">
        <f>IF(AND(I192&gt;0,J192&gt;=Assumptions!$B$4),1,0)</f>
        <v/>
      </c>
      <c r="L192" s="3">
        <f>I192*K192</f>
        <v/>
      </c>
      <c r="M192">
        <f>SUM($K$2:K192)</f>
        <v/>
      </c>
    </row>
    <row r="193">
      <c r="A193" t="inlineStr">
        <is>
          <t>050057</t>
        </is>
      </c>
      <c r="B193" t="inlineStr">
        <is>
          <t>Kaweah Health Medical Center</t>
        </is>
      </c>
      <c r="C193" t="inlineStr">
        <is>
          <t>CA</t>
        </is>
      </c>
      <c r="D193" t="inlineStr">
        <is>
          <t>Metropolitan</t>
        </is>
      </c>
      <c r="E193" s="5" t="n">
        <v>3453</v>
      </c>
      <c r="F193" s="4" t="n">
        <v>0.527367506516073</v>
      </c>
      <c r="G193" s="4" t="n">
        <v>0.5736417963390474</v>
      </c>
      <c r="H193" s="3" t="n">
        <v>58093705.08017604</v>
      </c>
      <c r="I193" s="3" t="n">
        <v>1186109.989214324</v>
      </c>
      <c r="J193" s="4" t="n">
        <v>0.0204171861233046</v>
      </c>
      <c r="K193">
        <f>IF(AND(I193&gt;0,J193&gt;=Assumptions!$B$4),1,0)</f>
        <v/>
      </c>
      <c r="L193" s="3">
        <f>I193*K193</f>
        <v/>
      </c>
      <c r="M193">
        <f>SUM($K$2:K193)</f>
        <v/>
      </c>
    </row>
    <row r="194">
      <c r="A194" t="inlineStr">
        <is>
          <t>040027</t>
        </is>
      </c>
      <c r="B194" t="inlineStr">
        <is>
          <t>Baxter Health</t>
        </is>
      </c>
      <c r="C194" t="inlineStr">
        <is>
          <t>AR</t>
        </is>
      </c>
      <c r="D194" t="inlineStr">
        <is>
          <t>Micropolitan</t>
        </is>
      </c>
      <c r="E194" s="5" t="n">
        <v>1787</v>
      </c>
      <c r="F194" s="4" t="n">
        <v>0.4521544487968663</v>
      </c>
      <c r="G194" s="4" t="n">
        <v>0.550176368454781</v>
      </c>
      <c r="H194" s="3" t="n">
        <v>26868520.37554014</v>
      </c>
      <c r="I194" s="3" t="n">
        <v>1177613.832348883</v>
      </c>
      <c r="J194" s="4" t="n">
        <v>0.0438287563248525</v>
      </c>
      <c r="K194">
        <f>IF(AND(I194&gt;0,J194&gt;=Assumptions!$B$4),1,0)</f>
        <v/>
      </c>
      <c r="L194" s="3">
        <f>I194*K194</f>
        <v/>
      </c>
      <c r="M194">
        <f>SUM($K$2:K194)</f>
        <v/>
      </c>
    </row>
    <row r="195">
      <c r="A195" t="inlineStr">
        <is>
          <t>390006</t>
        </is>
      </c>
      <c r="B195" t="inlineStr">
        <is>
          <t>Geisinger Medical Center</t>
        </is>
      </c>
      <c r="C195" t="inlineStr">
        <is>
          <t>PA</t>
        </is>
      </c>
      <c r="D195" t="inlineStr">
        <is>
          <t>Metropolitan</t>
        </is>
      </c>
      <c r="E195" s="5" t="n">
        <v>4482</v>
      </c>
      <c r="F195" s="4" t="n">
        <v>0.5290049085229808</v>
      </c>
      <c r="G195" s="4" t="n">
        <v>0.5465516640341571</v>
      </c>
      <c r="H195" s="3" t="n">
        <v>82661513.93675035</v>
      </c>
      <c r="I195" s="3" t="n">
        <v>1175987.803980038</v>
      </c>
      <c r="J195" s="4" t="n">
        <v>0.0142265456797689</v>
      </c>
      <c r="K195">
        <f>IF(AND(I195&gt;0,J195&gt;=Assumptions!$B$4),1,0)</f>
        <v/>
      </c>
      <c r="L195" s="3">
        <f>I195*K195</f>
        <v/>
      </c>
      <c r="M195">
        <f>SUM($K$2:K195)</f>
        <v/>
      </c>
    </row>
    <row r="196">
      <c r="A196" t="inlineStr">
        <is>
          <t>040010</t>
        </is>
      </c>
      <c r="B196" t="inlineStr">
        <is>
          <t>Mercy Hospital Northwest Arkansas</t>
        </is>
      </c>
      <c r="C196" t="inlineStr">
        <is>
          <t>AR</t>
        </is>
      </c>
      <c r="D196" t="inlineStr">
        <is>
          <t>Metropolitan</t>
        </is>
      </c>
      <c r="E196" s="5" t="n">
        <v>2239</v>
      </c>
      <c r="F196" s="4" t="n">
        <v>0.5131755247878517</v>
      </c>
      <c r="G196" s="4" t="n">
        <v>0.558532921622387</v>
      </c>
      <c r="H196" s="3" t="n">
        <v>37424955.52320863</v>
      </c>
      <c r="I196" s="3" t="n">
        <v>1161357.390677124</v>
      </c>
      <c r="J196" s="4" t="n">
        <v>0.0310316304840208</v>
      </c>
      <c r="K196">
        <f>IF(AND(I196&gt;0,J196&gt;=Assumptions!$B$4),1,0)</f>
        <v/>
      </c>
      <c r="L196" s="3">
        <f>I196*K196</f>
        <v/>
      </c>
      <c r="M196">
        <f>SUM($K$2:K196)</f>
        <v/>
      </c>
    </row>
    <row r="197">
      <c r="A197" t="inlineStr">
        <is>
          <t>420071</t>
        </is>
      </c>
      <c r="B197" t="inlineStr">
        <is>
          <t>Self Regional Healthcare</t>
        </is>
      </c>
      <c r="C197" t="inlineStr">
        <is>
          <t>SC</t>
        </is>
      </c>
      <c r="D197" t="inlineStr">
        <is>
          <t>Micropolitan</t>
        </is>
      </c>
      <c r="E197" s="5" t="n">
        <v>1646</v>
      </c>
      <c r="F197" s="4" t="n">
        <v>0.4119076549210206</v>
      </c>
      <c r="G197" s="4" t="n">
        <v>0.5101637556419166</v>
      </c>
      <c r="H197" s="3" t="n">
        <v>25573812.72185695</v>
      </c>
      <c r="I197" s="3" t="n">
        <v>1152733.693896584</v>
      </c>
      <c r="J197" s="4" t="n">
        <v>0.0450747687266587</v>
      </c>
      <c r="K197">
        <f>IF(AND(I197&gt;0,J197&gt;=Assumptions!$B$4),1,0)</f>
        <v/>
      </c>
      <c r="L197" s="3">
        <f>I197*K197</f>
        <v/>
      </c>
      <c r="M197">
        <f>SUM($K$2:K197)</f>
        <v/>
      </c>
    </row>
    <row r="198">
      <c r="A198" t="inlineStr">
        <is>
          <t>010113</t>
        </is>
      </c>
      <c r="B198" t="inlineStr">
        <is>
          <t>Mobile Infirmary Medical Center</t>
        </is>
      </c>
      <c r="C198" t="inlineStr">
        <is>
          <t>AL</t>
        </is>
      </c>
      <c r="D198" t="inlineStr">
        <is>
          <t>Metropolitan</t>
        </is>
      </c>
      <c r="E198" s="5" t="n">
        <v>2667</v>
      </c>
      <c r="F198" s="4" t="n">
        <v>0.4814398200224972</v>
      </c>
      <c r="G198" s="4" t="n">
        <v>0.5254528663368513</v>
      </c>
      <c r="H198" s="3" t="n">
        <v>43562642.55678889</v>
      </c>
      <c r="I198" s="3" t="n">
        <v>1150998.094440356</v>
      </c>
      <c r="J198" s="4" t="n">
        <v>0.0264216775403351</v>
      </c>
      <c r="K198">
        <f>IF(AND(I198&gt;0,J198&gt;=Assumptions!$B$4),1,0)</f>
        <v/>
      </c>
      <c r="L198" s="3">
        <f>I198*K198</f>
        <v/>
      </c>
      <c r="M198">
        <f>SUM($K$2:K198)</f>
        <v/>
      </c>
    </row>
    <row r="199">
      <c r="A199" t="inlineStr">
        <is>
          <t>090005</t>
        </is>
      </c>
      <c r="B199" t="inlineStr">
        <is>
          <t>Sibley Memorial Hospital</t>
        </is>
      </c>
      <c r="C199" t="inlineStr">
        <is>
          <t>DC</t>
        </is>
      </c>
      <c r="D199" t="inlineStr">
        <is>
          <t>Metropolitan</t>
        </is>
      </c>
      <c r="E199" s="5" t="n">
        <v>2201</v>
      </c>
      <c r="F199" s="4" t="n">
        <v>0.5311222171740119</v>
      </c>
      <c r="G199" s="4" t="n">
        <v>0.5617394872817463</v>
      </c>
      <c r="H199" s="3" t="n">
        <v>35285992.96546395</v>
      </c>
      <c r="I199" s="3" t="n">
        <v>1147215.847266756</v>
      </c>
      <c r="J199" s="4" t="n">
        <v>0.0325119332305481</v>
      </c>
      <c r="K199">
        <f>IF(AND(I199&gt;0,J199&gt;=Assumptions!$B$4),1,0)</f>
        <v/>
      </c>
      <c r="L199" s="3">
        <f>I199*K199</f>
        <v/>
      </c>
      <c r="M199">
        <f>SUM($K$2:K199)</f>
        <v/>
      </c>
    </row>
    <row r="200">
      <c r="A200" t="inlineStr">
        <is>
          <t>190064</t>
        </is>
      </c>
      <c r="B200" t="inlineStr">
        <is>
          <t>Our Lady Of The Lake Regional Medical Center</t>
        </is>
      </c>
      <c r="C200" t="inlineStr">
        <is>
          <t>LA</t>
        </is>
      </c>
      <c r="D200" t="inlineStr">
        <is>
          <t>Metropolitan</t>
        </is>
      </c>
      <c r="E200" s="5" t="n">
        <v>3494</v>
      </c>
      <c r="F200" s="4" t="n">
        <v>0.5306239267315398</v>
      </c>
      <c r="G200" s="4" t="n">
        <v>0.5520682862618429</v>
      </c>
      <c r="H200" s="3" t="n">
        <v>67625210.35110681</v>
      </c>
      <c r="I200" s="3" t="n">
        <v>1145706.442364424</v>
      </c>
      <c r="J200" s="4" t="n">
        <v>0.0169420019015981</v>
      </c>
      <c r="K200">
        <f>IF(AND(I200&gt;0,J200&gt;=Assumptions!$B$4),1,0)</f>
        <v/>
      </c>
      <c r="L200" s="3">
        <f>I200*K200</f>
        <v/>
      </c>
      <c r="M200">
        <f>SUM($K$2:K200)</f>
        <v/>
      </c>
    </row>
    <row r="201">
      <c r="A201" t="inlineStr">
        <is>
          <t>110028</t>
        </is>
      </c>
      <c r="B201" t="inlineStr">
        <is>
          <t>Piedmont Augusta Hospital</t>
        </is>
      </c>
      <c r="C201" t="inlineStr">
        <is>
          <t>GA</t>
        </is>
      </c>
      <c r="D201" t="inlineStr">
        <is>
          <t>Metropolitan</t>
        </is>
      </c>
      <c r="E201" s="5" t="n">
        <v>3616</v>
      </c>
      <c r="F201" s="4" t="n">
        <v>0.5246128318584071</v>
      </c>
      <c r="G201" s="4" t="n">
        <v>0.5472255376060396</v>
      </c>
      <c r="H201" s="3" t="n">
        <v>62274646.48029106</v>
      </c>
      <c r="I201" s="3" t="n">
        <v>1141083.02578643</v>
      </c>
      <c r="J201" s="4" t="n">
        <v>0.0183233962821059</v>
      </c>
      <c r="K201">
        <f>IF(AND(I201&gt;0,J201&gt;=Assumptions!$B$4),1,0)</f>
        <v/>
      </c>
      <c r="L201" s="3">
        <f>I201*K201</f>
        <v/>
      </c>
      <c r="M201">
        <f>SUM($K$2:K201)</f>
        <v/>
      </c>
    </row>
    <row r="202">
      <c r="A202" t="inlineStr">
        <is>
          <t>420073</t>
        </is>
      </c>
      <c r="B202" t="inlineStr">
        <is>
          <t>Lexington Medical Center</t>
        </is>
      </c>
      <c r="C202" t="inlineStr">
        <is>
          <t>SC</t>
        </is>
      </c>
      <c r="D202" t="inlineStr">
        <is>
          <t>Metropolitan</t>
        </is>
      </c>
      <c r="E202" s="5" t="n">
        <v>6848</v>
      </c>
      <c r="F202" s="4" t="n">
        <v>0.5560747663551402</v>
      </c>
      <c r="G202" s="4" t="n">
        <v>0.5484617148432374</v>
      </c>
      <c r="H202" s="3" t="n">
        <v>123004058.155726</v>
      </c>
      <c r="I202" s="3" t="n">
        <v>1138696.58667478</v>
      </c>
      <c r="J202" s="4" t="n">
        <v>0.009257390396283999</v>
      </c>
      <c r="K202">
        <f>IF(AND(I202&gt;0,J202&gt;=Assumptions!$B$4),1,0)</f>
        <v/>
      </c>
      <c r="L202" s="3">
        <f>I202*K202</f>
        <v/>
      </c>
      <c r="M202">
        <f>SUM($K$2:K202)</f>
        <v/>
      </c>
    </row>
    <row r="203">
      <c r="A203" t="inlineStr">
        <is>
          <t>340131</t>
        </is>
      </c>
      <c r="B203" t="inlineStr">
        <is>
          <t>Carolina East Medical Center</t>
        </is>
      </c>
      <c r="C203" t="inlineStr">
        <is>
          <t>NC</t>
        </is>
      </c>
      <c r="D203" t="inlineStr">
        <is>
          <t>Metropolitan</t>
        </is>
      </c>
      <c r="E203" s="5" t="n">
        <v>3186</v>
      </c>
      <c r="F203" s="4" t="n">
        <v>0.5508474576271186</v>
      </c>
      <c r="G203" s="4" t="n">
        <v>0.557753980317683</v>
      </c>
      <c r="H203" s="3" t="n">
        <v>53913335.27866919</v>
      </c>
      <c r="I203" s="3" t="n">
        <v>1135300.650891036</v>
      </c>
      <c r="J203" s="4" t="n">
        <v>0.0210578819696992</v>
      </c>
      <c r="K203">
        <f>IF(AND(I203&gt;0,J203&gt;=Assumptions!$B$4),1,0)</f>
        <v/>
      </c>
      <c r="L203" s="3">
        <f>I203*K203</f>
        <v/>
      </c>
      <c r="M203">
        <f>SUM($K$2:K203)</f>
        <v/>
      </c>
    </row>
    <row r="204">
      <c r="A204" t="inlineStr">
        <is>
          <t>060034</t>
        </is>
      </c>
      <c r="B204" t="inlineStr">
        <is>
          <t>Swedish Medical Center</t>
        </is>
      </c>
      <c r="C204" t="inlineStr">
        <is>
          <t>CO</t>
        </is>
      </c>
      <c r="D204" t="inlineStr">
        <is>
          <t>Metropolitan</t>
        </is>
      </c>
      <c r="E204" s="5" t="n">
        <v>1943</v>
      </c>
      <c r="F204" s="4" t="n">
        <v>0.51672671127123</v>
      </c>
      <c r="G204" s="4" t="n">
        <v>0.533232795945507</v>
      </c>
      <c r="H204" s="3" t="n">
        <v>40085238.09775922</v>
      </c>
      <c r="I204" s="3" t="n">
        <v>1135268.161167137</v>
      </c>
      <c r="J204" s="4" t="n">
        <v>0.0283213525736946</v>
      </c>
      <c r="K204">
        <f>IF(AND(I204&gt;0,J204&gt;=Assumptions!$B$4),1,0)</f>
        <v/>
      </c>
      <c r="L204" s="3">
        <f>I204*K204</f>
        <v/>
      </c>
      <c r="M204">
        <f>SUM($K$2:K204)</f>
        <v/>
      </c>
    </row>
    <row r="205">
      <c r="A205" t="inlineStr">
        <is>
          <t>380018</t>
        </is>
      </c>
      <c r="B205" t="inlineStr">
        <is>
          <t>Asante Rogue Regional Medical Center</t>
        </is>
      </c>
      <c r="C205" t="inlineStr">
        <is>
          <t>OR</t>
        </is>
      </c>
      <c r="D205" t="inlineStr">
        <is>
          <t>Metropolitan</t>
        </is>
      </c>
      <c r="E205" s="5" t="n">
        <v>2546</v>
      </c>
      <c r="F205" s="4" t="n">
        <v>0.5078554595443834</v>
      </c>
      <c r="G205" s="4" t="n">
        <v>0.5334670525352789</v>
      </c>
      <c r="H205" s="3" t="n">
        <v>51276784.89418319</v>
      </c>
      <c r="I205" s="3" t="n">
        <v>1131518.948037795</v>
      </c>
      <c r="J205" s="4" t="n">
        <v>0.0220668856359236</v>
      </c>
      <c r="K205">
        <f>IF(AND(I205&gt;0,J205&gt;=Assumptions!$B$4),1,0)</f>
        <v/>
      </c>
      <c r="L205" s="3">
        <f>I205*K205</f>
        <v/>
      </c>
      <c r="M205">
        <f>SUM($K$2:K205)</f>
        <v/>
      </c>
    </row>
    <row r="206">
      <c r="A206" t="inlineStr">
        <is>
          <t>140067</t>
        </is>
      </c>
      <c r="B206" t="inlineStr">
        <is>
          <t>Saint Francis Medical Center</t>
        </is>
      </c>
      <c r="C206" t="inlineStr">
        <is>
          <t>IL</t>
        </is>
      </c>
      <c r="D206" t="inlineStr">
        <is>
          <t>Metropolitan</t>
        </is>
      </c>
      <c r="E206" s="5" t="n">
        <v>6100</v>
      </c>
      <c r="F206" s="4" t="n">
        <v>0.5322950819672131</v>
      </c>
      <c r="G206" s="4" t="n">
        <v>0.5468276479040253</v>
      </c>
      <c r="H206" s="3" t="n">
        <v>112043329.9558936</v>
      </c>
      <c r="I206" s="3" t="n">
        <v>1129213.483689547</v>
      </c>
      <c r="J206" s="4" t="n">
        <v>0.0100783641840533</v>
      </c>
      <c r="K206">
        <f>IF(AND(I206&gt;0,J206&gt;=Assumptions!$B$4),1,0)</f>
        <v/>
      </c>
      <c r="L206" s="3">
        <f>I206*K206</f>
        <v/>
      </c>
      <c r="M206">
        <f>SUM($K$2:K206)</f>
        <v/>
      </c>
    </row>
    <row r="207">
      <c r="A207" t="inlineStr">
        <is>
          <t>330332</t>
        </is>
      </c>
      <c r="B207" t="inlineStr">
        <is>
          <t>St Joseph Hospital</t>
        </is>
      </c>
      <c r="C207" t="inlineStr">
        <is>
          <t>NY</t>
        </is>
      </c>
      <c r="D207" t="inlineStr">
        <is>
          <t>Metropolitan</t>
        </is>
      </c>
      <c r="E207" s="5" t="n">
        <v>1827</v>
      </c>
      <c r="F207" s="4" t="n">
        <v>0.5342090859332239</v>
      </c>
      <c r="G207" s="4" t="n">
        <v>0.6123522947793661</v>
      </c>
      <c r="H207" s="3" t="n">
        <v>23965112.3658186</v>
      </c>
      <c r="I207" s="3" t="n">
        <v>1123839.415859938</v>
      </c>
      <c r="J207" s="4" t="n">
        <v>0.0468948110363491</v>
      </c>
      <c r="K207">
        <f>IF(AND(I207&gt;0,J207&gt;=Assumptions!$B$4),1,0)</f>
        <v/>
      </c>
      <c r="L207" s="3">
        <f>I207*K207</f>
        <v/>
      </c>
      <c r="M207">
        <f>SUM($K$2:K207)</f>
        <v/>
      </c>
    </row>
    <row r="208">
      <c r="A208" t="inlineStr">
        <is>
          <t>050291</t>
        </is>
      </c>
      <c r="B208" t="inlineStr">
        <is>
          <t>Sutter Santa Rosa Regional Hospital</t>
        </is>
      </c>
      <c r="C208" t="inlineStr">
        <is>
          <t>CA</t>
        </is>
      </c>
      <c r="D208" t="inlineStr">
        <is>
          <t>Metropolitan</t>
        </is>
      </c>
      <c r="E208" s="5" t="n">
        <v>1575</v>
      </c>
      <c r="F208" s="4" t="n">
        <v>0.5517460317460318</v>
      </c>
      <c r="G208" s="4" t="n">
        <v>0.6072861651454381</v>
      </c>
      <c r="H208" s="3" t="n">
        <v>26708405.89509216</v>
      </c>
      <c r="I208" s="3" t="n">
        <v>1123712.005033746</v>
      </c>
      <c r="J208" s="4" t="n">
        <v>0.0420733461011327</v>
      </c>
      <c r="K208">
        <f>IF(AND(I208&gt;0,J208&gt;=Assumptions!$B$4),1,0)</f>
        <v/>
      </c>
      <c r="L208" s="3">
        <f>I208*K208</f>
        <v/>
      </c>
      <c r="M208">
        <f>SUM($K$2:K208)</f>
        <v/>
      </c>
    </row>
    <row r="209">
      <c r="A209" t="inlineStr">
        <is>
          <t>340061</t>
        </is>
      </c>
      <c r="B209" t="inlineStr">
        <is>
          <t>Unc Hospitals</t>
        </is>
      </c>
      <c r="C209" t="inlineStr">
        <is>
          <t>NC</t>
        </is>
      </c>
      <c r="D209" t="inlineStr">
        <is>
          <t>Metropolitan</t>
        </is>
      </c>
      <c r="E209" s="5" t="n">
        <v>4061</v>
      </c>
      <c r="F209" s="4" t="n">
        <v>0.5210539276040385</v>
      </c>
      <c r="G209" s="4" t="n">
        <v>0.5526093084943312</v>
      </c>
      <c r="H209" s="3" t="n">
        <v>81923694.09460193</v>
      </c>
      <c r="I209" s="3" t="n">
        <v>1117558.420860976</v>
      </c>
      <c r="J209" s="4" t="n">
        <v>0.0136414554203386</v>
      </c>
      <c r="K209">
        <f>IF(AND(I209&gt;0,J209&gt;=Assumptions!$B$4),1,0)</f>
        <v/>
      </c>
      <c r="L209" s="3">
        <f>I209*K209</f>
        <v/>
      </c>
      <c r="M209">
        <f>SUM($K$2:K209)</f>
        <v/>
      </c>
    </row>
    <row r="210">
      <c r="A210" t="inlineStr">
        <is>
          <t>300001</t>
        </is>
      </c>
      <c r="B210" t="inlineStr">
        <is>
          <t>Concord Hospital</t>
        </is>
      </c>
      <c r="C210" t="inlineStr">
        <is>
          <t>NH</t>
        </is>
      </c>
      <c r="D210" t="inlineStr">
        <is>
          <t>Micropolitan</t>
        </is>
      </c>
      <c r="E210" s="5" t="n">
        <v>2633</v>
      </c>
      <c r="F210" s="4" t="n">
        <v>0.4641093809342955</v>
      </c>
      <c r="G210" s="4" t="n">
        <v>0.5257650017623222</v>
      </c>
      <c r="H210" s="3" t="n">
        <v>45550030.87254565</v>
      </c>
      <c r="I210" s="3" t="n">
        <v>1116934.662062123</v>
      </c>
      <c r="J210" s="4" t="n">
        <v>0.0245210517021917</v>
      </c>
      <c r="K210">
        <f>IF(AND(I210&gt;0,J210&gt;=Assumptions!$B$4),1,0)</f>
        <v/>
      </c>
      <c r="L210" s="3">
        <f>I210*K210</f>
        <v/>
      </c>
      <c r="M210">
        <f>SUM($K$2:K210)</f>
        <v/>
      </c>
    </row>
    <row r="211">
      <c r="A211" t="inlineStr">
        <is>
          <t>180035</t>
        </is>
      </c>
      <c r="B211" t="inlineStr">
        <is>
          <t>St Elizabeth Medical Center North</t>
        </is>
      </c>
      <c r="C211" t="inlineStr">
        <is>
          <t>KY</t>
        </is>
      </c>
      <c r="D211" t="inlineStr">
        <is>
          <t>Metropolitan</t>
        </is>
      </c>
      <c r="E211" s="5" t="n">
        <v>4266</v>
      </c>
      <c r="F211" s="4" t="n">
        <v>0.4826535396155649</v>
      </c>
      <c r="G211" s="4" t="n">
        <v>0.5173427267428619</v>
      </c>
      <c r="H211" s="3" t="n">
        <v>72935492.34285127</v>
      </c>
      <c r="I211" s="3" t="n">
        <v>1112647.358412832</v>
      </c>
      <c r="J211" s="4" t="n">
        <v>0.0152552251677764</v>
      </c>
      <c r="K211">
        <f>IF(AND(I211&gt;0,J211&gt;=Assumptions!$B$4),1,0)</f>
        <v/>
      </c>
      <c r="L211" s="3">
        <f>I211*K211</f>
        <v/>
      </c>
      <c r="M211">
        <f>SUM($K$2:K211)</f>
        <v/>
      </c>
    </row>
    <row r="212">
      <c r="A212" t="inlineStr">
        <is>
          <t>100151</t>
        </is>
      </c>
      <c r="B212" t="inlineStr">
        <is>
          <t>Mayo Clinic</t>
        </is>
      </c>
      <c r="C212" t="inlineStr">
        <is>
          <t>FL</t>
        </is>
      </c>
      <c r="D212" t="inlineStr">
        <is>
          <t>Metropolitan</t>
        </is>
      </c>
      <c r="E212" s="5" t="n">
        <v>6967</v>
      </c>
      <c r="F212" s="4" t="n">
        <v>0.5152863499354098</v>
      </c>
      <c r="G212" s="4" t="n">
        <v>0.524517908310794</v>
      </c>
      <c r="H212" s="3" t="n">
        <v>140251193.7294376</v>
      </c>
      <c r="I212" s="3" t="n">
        <v>1111369.12198922</v>
      </c>
      <c r="J212" s="4" t="n">
        <v>0.0079241330675102</v>
      </c>
      <c r="K212">
        <f>IF(AND(I212&gt;0,J212&gt;=Assumptions!$B$4),1,0)</f>
        <v/>
      </c>
      <c r="L212" s="3">
        <f>I212*K212</f>
        <v/>
      </c>
      <c r="M212">
        <f>SUM($K$2:K212)</f>
        <v/>
      </c>
    </row>
    <row r="213">
      <c r="A213" t="inlineStr">
        <is>
          <t>240053</t>
        </is>
      </c>
      <c r="B213" t="inlineStr">
        <is>
          <t>Park Nicollet Methodist Hospital</t>
        </is>
      </c>
      <c r="C213" t="inlineStr">
        <is>
          <t>MN</t>
        </is>
      </c>
      <c r="D213" t="inlineStr">
        <is>
          <t>Metropolitan</t>
        </is>
      </c>
      <c r="E213" s="5" t="n">
        <v>4178</v>
      </c>
      <c r="F213" s="4" t="n">
        <v>0.4990426041168023</v>
      </c>
      <c r="G213" s="4" t="n">
        <v>0.5371123371782953</v>
      </c>
      <c r="H213" s="3" t="n">
        <v>67088094.8467847</v>
      </c>
      <c r="I213" s="3" t="n">
        <v>1109093.750569001</v>
      </c>
      <c r="J213" s="4" t="n">
        <v>0.0165319011234696</v>
      </c>
      <c r="K213">
        <f>IF(AND(I213&gt;0,J213&gt;=Assumptions!$B$4),1,0)</f>
        <v/>
      </c>
      <c r="L213" s="3">
        <f>I213*K213</f>
        <v/>
      </c>
      <c r="M213">
        <f>SUM($K$2:K213)</f>
        <v/>
      </c>
    </row>
    <row r="214">
      <c r="A214" t="inlineStr">
        <is>
          <t>450563</t>
        </is>
      </c>
      <c r="B214" t="inlineStr">
        <is>
          <t>Baylor Scott &amp; White Medical Center  Grapevine</t>
        </is>
      </c>
      <c r="C214" t="inlineStr">
        <is>
          <t>TX</t>
        </is>
      </c>
      <c r="D214" t="inlineStr">
        <is>
          <t>Metropolitan</t>
        </is>
      </c>
      <c r="E214" s="5" t="n">
        <v>2853</v>
      </c>
      <c r="F214" s="4" t="n">
        <v>0.4798457763757448</v>
      </c>
      <c r="G214" s="4" t="n">
        <v>0.5380666382371667</v>
      </c>
      <c r="H214" s="3" t="n">
        <v>42139058.42739175</v>
      </c>
      <c r="I214" s="3" t="n">
        <v>1108132.297155984</v>
      </c>
      <c r="J214" s="4" t="n">
        <v>0.0262970350670118</v>
      </c>
      <c r="K214">
        <f>IF(AND(I214&gt;0,J214&gt;=Assumptions!$B$4),1,0)</f>
        <v/>
      </c>
      <c r="L214" s="3">
        <f>I214*K214</f>
        <v/>
      </c>
      <c r="M214">
        <f>SUM($K$2:K214)</f>
        <v/>
      </c>
    </row>
    <row r="215">
      <c r="A215" t="inlineStr">
        <is>
          <t>490021</t>
        </is>
      </c>
      <c r="B215" t="inlineStr">
        <is>
          <t>Centra  Health, Inc</t>
        </is>
      </c>
      <c r="C215" t="inlineStr">
        <is>
          <t>VA</t>
        </is>
      </c>
      <c r="D215" t="inlineStr">
        <is>
          <t>Metropolitan</t>
        </is>
      </c>
      <c r="E215" s="5" t="n">
        <v>5416</v>
      </c>
      <c r="F215" s="4" t="n">
        <v>0.5548375184638109</v>
      </c>
      <c r="G215" s="4" t="n">
        <v>0.5629001104834392</v>
      </c>
      <c r="H215" s="3" t="n">
        <v>94691526.62429044</v>
      </c>
      <c r="I215" s="3" t="n">
        <v>1101585.530699759</v>
      </c>
      <c r="J215" s="4" t="n">
        <v>0.0116334118792966</v>
      </c>
      <c r="K215">
        <f>IF(AND(I215&gt;0,J215&gt;=Assumptions!$B$4),1,0)</f>
        <v/>
      </c>
      <c r="L215" s="3">
        <f>I215*K215</f>
        <v/>
      </c>
      <c r="M215">
        <f>SUM($K$2:K215)</f>
        <v/>
      </c>
    </row>
    <row r="216">
      <c r="A216" t="inlineStr">
        <is>
          <t>310008</t>
        </is>
      </c>
      <c r="B216" t="inlineStr">
        <is>
          <t>Holy Name Medical Center</t>
        </is>
      </c>
      <c r="C216" t="inlineStr">
        <is>
          <t>NJ</t>
        </is>
      </c>
      <c r="D216" t="inlineStr">
        <is>
          <t>Metropolitan</t>
        </is>
      </c>
      <c r="E216" s="5" t="n">
        <v>2229</v>
      </c>
      <c r="F216" s="4" t="n">
        <v>0.5419470614625392</v>
      </c>
      <c r="G216" s="4" t="n">
        <v>0.6101317181139903</v>
      </c>
      <c r="H216" s="3" t="n">
        <v>31378510.15515584</v>
      </c>
      <c r="I216" s="3" t="n">
        <v>1095693.027471319</v>
      </c>
      <c r="J216" s="4" t="n">
        <v>0.0349185803294514</v>
      </c>
      <c r="K216">
        <f>IF(AND(I216&gt;0,J216&gt;=Assumptions!$B$4),1,0)</f>
        <v/>
      </c>
      <c r="L216" s="3">
        <f>I216*K216</f>
        <v/>
      </c>
      <c r="M216">
        <f>SUM($K$2:K216)</f>
        <v/>
      </c>
    </row>
    <row r="217">
      <c r="A217" t="inlineStr">
        <is>
          <t>370028</t>
        </is>
      </c>
      <c r="B217" t="inlineStr">
        <is>
          <t>Integris Baptist Medical Center, Inc</t>
        </is>
      </c>
      <c r="C217" t="inlineStr">
        <is>
          <t>OK</t>
        </is>
      </c>
      <c r="D217" t="inlineStr">
        <is>
          <t>Metropolitan</t>
        </is>
      </c>
      <c r="E217" s="5" t="n">
        <v>4790</v>
      </c>
      <c r="F217" s="4" t="n">
        <v>0.5175365344467641</v>
      </c>
      <c r="G217" s="4" t="n">
        <v>0.543294985984095</v>
      </c>
      <c r="H217" s="3" t="n">
        <v>87066210.96252954</v>
      </c>
      <c r="I217" s="3" t="n">
        <v>1095678.748239785</v>
      </c>
      <c r="J217" s="4" t="n">
        <v>0.0125844312750824</v>
      </c>
      <c r="K217">
        <f>IF(AND(I217&gt;0,J217&gt;=Assumptions!$B$4),1,0)</f>
        <v/>
      </c>
      <c r="L217" s="3">
        <f>I217*K217</f>
        <v/>
      </c>
      <c r="M217">
        <f>SUM($K$2:K217)</f>
        <v/>
      </c>
    </row>
    <row r="218">
      <c r="A218" t="inlineStr">
        <is>
          <t>420085</t>
        </is>
      </c>
      <c r="B218" t="inlineStr">
        <is>
          <t>Grand Strand Regional Medical Center</t>
        </is>
      </c>
      <c r="C218" t="inlineStr">
        <is>
          <t>SC</t>
        </is>
      </c>
      <c r="D218" t="inlineStr">
        <is>
          <t>Metropolitan</t>
        </is>
      </c>
      <c r="E218" s="5" t="n">
        <v>5145</v>
      </c>
      <c r="F218" s="4" t="n">
        <v>0.5276967930029155</v>
      </c>
      <c r="G218" s="4" t="n">
        <v>0.5201041972177293</v>
      </c>
      <c r="H218" s="3" t="n">
        <v>91304494.38162114</v>
      </c>
      <c r="I218" s="3" t="n">
        <v>1093652.032866225</v>
      </c>
      <c r="J218" s="4" t="n">
        <v>0.0119780744669056</v>
      </c>
      <c r="K218">
        <f>IF(AND(I218&gt;0,J218&gt;=Assumptions!$B$4),1,0)</f>
        <v/>
      </c>
      <c r="L218" s="3">
        <f>I218*K218</f>
        <v/>
      </c>
      <c r="M218">
        <f>SUM($K$2:K218)</f>
        <v/>
      </c>
    </row>
    <row r="219">
      <c r="A219" t="inlineStr">
        <is>
          <t>450213</t>
        </is>
      </c>
      <c r="B219" t="inlineStr">
        <is>
          <t>University Health System</t>
        </is>
      </c>
      <c r="C219" t="inlineStr">
        <is>
          <t>TX</t>
        </is>
      </c>
      <c r="D219" t="inlineStr">
        <is>
          <t>Metropolitan</t>
        </is>
      </c>
      <c r="E219" s="5" t="n">
        <v>2286</v>
      </c>
      <c r="F219" s="4" t="n">
        <v>0.5183727034120735</v>
      </c>
      <c r="G219" s="4" t="n">
        <v>0.5645741862907132</v>
      </c>
      <c r="H219" s="3" t="n">
        <v>42575360.16043022</v>
      </c>
      <c r="I219" s="3" t="n">
        <v>1093037.63314224</v>
      </c>
      <c r="J219" s="4" t="n">
        <v>0.0256730096709344</v>
      </c>
      <c r="K219">
        <f>IF(AND(I219&gt;0,J219&gt;=Assumptions!$B$4),1,0)</f>
        <v/>
      </c>
      <c r="L219" s="3">
        <f>I219*K219</f>
        <v/>
      </c>
      <c r="M219">
        <f>SUM($K$2:K219)</f>
        <v/>
      </c>
    </row>
    <row r="220">
      <c r="A220" t="inlineStr">
        <is>
          <t>330005</t>
        </is>
      </c>
      <c r="B220" t="inlineStr">
        <is>
          <t>Kaleida Health</t>
        </is>
      </c>
      <c r="C220" t="inlineStr">
        <is>
          <t>NY</t>
        </is>
      </c>
      <c r="D220" t="inlineStr">
        <is>
          <t>Metropolitan</t>
        </is>
      </c>
      <c r="E220" s="5" t="n">
        <v>4927</v>
      </c>
      <c r="F220" s="4" t="n">
        <v>0.5344022731885528</v>
      </c>
      <c r="G220" s="4" t="n">
        <v>0.5559665523347771</v>
      </c>
      <c r="H220" s="3" t="n">
        <v>96120621.86447053</v>
      </c>
      <c r="I220" s="3" t="n">
        <v>1092620.789170682</v>
      </c>
      <c r="J220" s="4" t="n">
        <v>0.0113671839401046</v>
      </c>
      <c r="K220">
        <f>IF(AND(I220&gt;0,J220&gt;=Assumptions!$B$4),1,0)</f>
        <v/>
      </c>
      <c r="L220" s="3">
        <f>I220*K220</f>
        <v/>
      </c>
      <c r="M220">
        <f>SUM($K$2:K220)</f>
        <v/>
      </c>
    </row>
    <row r="221">
      <c r="A221" t="inlineStr">
        <is>
          <t>340040</t>
        </is>
      </c>
      <c r="B221" t="inlineStr">
        <is>
          <t>Ecu Health Medical Center</t>
        </is>
      </c>
      <c r="C221" t="inlineStr">
        <is>
          <t>NC</t>
        </is>
      </c>
      <c r="D221" t="inlineStr">
        <is>
          <t>Metropolitan</t>
        </is>
      </c>
      <c r="E221" s="5" t="n">
        <v>7690</v>
      </c>
      <c r="F221" s="4" t="n">
        <v>0.5227568270481144</v>
      </c>
      <c r="G221" s="4" t="n">
        <v>0.5361441536244796</v>
      </c>
      <c r="H221" s="3" t="n">
        <v>140503720.2608988</v>
      </c>
      <c r="I221" s="3" t="n">
        <v>1090327.884737581</v>
      </c>
      <c r="J221" s="4" t="n">
        <v>0.007760135338146</v>
      </c>
      <c r="K221">
        <f>IF(AND(I221&gt;0,J221&gt;=Assumptions!$B$4),1,0)</f>
        <v/>
      </c>
      <c r="L221" s="3">
        <f>I221*K221</f>
        <v/>
      </c>
      <c r="M221">
        <f>SUM($K$2:K221)</f>
        <v/>
      </c>
    </row>
    <row r="222">
      <c r="A222" t="inlineStr">
        <is>
          <t>150021</t>
        </is>
      </c>
      <c r="B222" t="inlineStr">
        <is>
          <t>Parkview Regional Medical Center</t>
        </is>
      </c>
      <c r="C222" t="inlineStr">
        <is>
          <t>IN</t>
        </is>
      </c>
      <c r="D222" t="inlineStr">
        <is>
          <t>Metropolitan</t>
        </is>
      </c>
      <c r="E222" s="5" t="n">
        <v>5729</v>
      </c>
      <c r="F222" s="4" t="n">
        <v>0.534473730144877</v>
      </c>
      <c r="G222" s="4" t="n">
        <v>0.557984274117432</v>
      </c>
      <c r="H222" s="3" t="n">
        <v>94763059.80558534</v>
      </c>
      <c r="I222" s="3" t="n">
        <v>1088817.442476198</v>
      </c>
      <c r="J222" s="4" t="n">
        <v>0.0114898932633665</v>
      </c>
      <c r="K222">
        <f>IF(AND(I222&gt;0,J222&gt;=Assumptions!$B$4),1,0)</f>
        <v/>
      </c>
      <c r="L222" s="3">
        <f>I222*K222</f>
        <v/>
      </c>
      <c r="M222">
        <f>SUM($K$2:K222)</f>
        <v/>
      </c>
    </row>
    <row r="223">
      <c r="A223" t="inlineStr">
        <is>
          <t>230002</t>
        </is>
      </c>
      <c r="B223" t="inlineStr">
        <is>
          <t>Trinity Health Livonia Hospital</t>
        </is>
      </c>
      <c r="C223" t="inlineStr">
        <is>
          <t>MI</t>
        </is>
      </c>
      <c r="D223" t="inlineStr">
        <is>
          <t>Metropolitan</t>
        </is>
      </c>
      <c r="E223" s="5" t="n">
        <v>3280</v>
      </c>
      <c r="F223" s="4" t="n">
        <v>0.4954268292682927</v>
      </c>
      <c r="G223" s="4" t="n">
        <v>0.5569247088230719</v>
      </c>
      <c r="H223" s="3" t="n">
        <v>45117079.85389984</v>
      </c>
      <c r="I223" s="3" t="n">
        <v>1084942.430224769</v>
      </c>
      <c r="J223" s="4" t="n">
        <v>0.0240472662179839</v>
      </c>
      <c r="K223">
        <f>IF(AND(I223&gt;0,J223&gt;=Assumptions!$B$4),1,0)</f>
        <v/>
      </c>
      <c r="L223" s="3">
        <f>I223*K223</f>
        <v/>
      </c>
      <c r="M223">
        <f>SUM($K$2:K223)</f>
        <v/>
      </c>
    </row>
    <row r="224">
      <c r="A224" t="inlineStr">
        <is>
          <t>030119</t>
        </is>
      </c>
      <c r="B224" t="inlineStr">
        <is>
          <t>Mercy Gilbert Medical Center</t>
        </is>
      </c>
      <c r="C224" t="inlineStr">
        <is>
          <t>AZ</t>
        </is>
      </c>
      <c r="D224" t="inlineStr">
        <is>
          <t>Metropolitan</t>
        </is>
      </c>
      <c r="E224" s="5" t="n">
        <v>2431</v>
      </c>
      <c r="F224" s="4" t="n">
        <v>0.5520361990950227</v>
      </c>
      <c r="G224" s="4" t="n">
        <v>0.6036304783328449</v>
      </c>
      <c r="H224" s="3" t="n">
        <v>34344894.09323259</v>
      </c>
      <c r="I224" s="3" t="n">
        <v>1082320.93248209</v>
      </c>
      <c r="J224" s="4" t="n">
        <v>0.0315132994600019</v>
      </c>
      <c r="K224">
        <f>IF(AND(I224&gt;0,J224&gt;=Assumptions!$B$4),1,0)</f>
        <v/>
      </c>
      <c r="L224" s="3">
        <f>I224*K224</f>
        <v/>
      </c>
      <c r="M224">
        <f>SUM($K$2:K224)</f>
        <v/>
      </c>
    </row>
    <row r="225">
      <c r="A225" t="inlineStr">
        <is>
          <t>440015</t>
        </is>
      </c>
      <c r="B225" t="inlineStr">
        <is>
          <t>University Of Tn Medical Center (The)</t>
        </is>
      </c>
      <c r="C225" t="inlineStr">
        <is>
          <t>TN</t>
        </is>
      </c>
      <c r="D225" t="inlineStr">
        <is>
          <t>Metropolitan</t>
        </is>
      </c>
      <c r="E225" s="5" t="n">
        <v>4959</v>
      </c>
      <c r="F225" s="4" t="n">
        <v>0.5095785440613027</v>
      </c>
      <c r="G225" s="4" t="n">
        <v>0.5223808265850934</v>
      </c>
      <c r="H225" s="3" t="n">
        <v>91883254.18953384</v>
      </c>
      <c r="I225" s="3" t="n">
        <v>1081644.799664006</v>
      </c>
      <c r="J225" s="4" t="n">
        <v>0.0117719470125951</v>
      </c>
      <c r="K225">
        <f>IF(AND(I225&gt;0,J225&gt;=Assumptions!$B$4),1,0)</f>
        <v/>
      </c>
      <c r="L225" s="3">
        <f>I225*K225</f>
        <v/>
      </c>
      <c r="M225">
        <f>SUM($K$2:K225)</f>
        <v/>
      </c>
    </row>
    <row r="226">
      <c r="A226" t="inlineStr">
        <is>
          <t>140213</t>
        </is>
      </c>
      <c r="B226" t="inlineStr">
        <is>
          <t>Silver Cross Hospital  And Medical Centers</t>
        </is>
      </c>
      <c r="C226" t="inlineStr">
        <is>
          <t>IL</t>
        </is>
      </c>
      <c r="D226" t="inlineStr">
        <is>
          <t>Metropolitan</t>
        </is>
      </c>
      <c r="E226" s="5" t="n">
        <v>5218</v>
      </c>
      <c r="F226" s="4" t="n">
        <v>0.5237638942123419</v>
      </c>
      <c r="G226" s="4" t="n">
        <v>0.5562244052976572</v>
      </c>
      <c r="H226" s="3" t="n">
        <v>80142127.44350041</v>
      </c>
      <c r="I226" s="3" t="n">
        <v>1081145.696974307</v>
      </c>
      <c r="J226" s="4" t="n">
        <v>0.0134903543424961</v>
      </c>
      <c r="K226">
        <f>IF(AND(I226&gt;0,J226&gt;=Assumptions!$B$4),1,0)</f>
        <v/>
      </c>
      <c r="L226" s="3">
        <f>I226*K226</f>
        <v/>
      </c>
      <c r="M226">
        <f>SUM($K$2:K226)</f>
        <v/>
      </c>
    </row>
    <row r="227">
      <c r="A227" t="inlineStr">
        <is>
          <t>360077</t>
        </is>
      </c>
      <c r="B227" t="inlineStr">
        <is>
          <t>Fairview Hospital</t>
        </is>
      </c>
      <c r="C227" t="inlineStr">
        <is>
          <t>OH</t>
        </is>
      </c>
      <c r="D227" t="inlineStr">
        <is>
          <t>Metropolitan</t>
        </is>
      </c>
      <c r="E227" s="5" t="n">
        <v>3153</v>
      </c>
      <c r="F227" s="4" t="n">
        <v>0.569616238503013</v>
      </c>
      <c r="G227" s="4" t="n">
        <v>0.5696414791831594</v>
      </c>
      <c r="H227" s="3" t="n">
        <v>50063144.72995983</v>
      </c>
      <c r="I227" s="3" t="n">
        <v>1079132.341752797</v>
      </c>
      <c r="J227" s="4" t="n">
        <v>0.0215554246057379</v>
      </c>
      <c r="K227">
        <f>IF(AND(I227&gt;0,J227&gt;=Assumptions!$B$4),1,0)</f>
        <v/>
      </c>
      <c r="L227" s="3">
        <f>I227*K227</f>
        <v/>
      </c>
      <c r="M227">
        <f>SUM($K$2:K227)</f>
        <v/>
      </c>
    </row>
    <row r="228">
      <c r="A228" t="inlineStr">
        <is>
          <t>220029</t>
        </is>
      </c>
      <c r="B228" t="inlineStr">
        <is>
          <t>Anna Jaques Hospital</t>
        </is>
      </c>
      <c r="C228" t="inlineStr">
        <is>
          <t>MA</t>
        </is>
      </c>
      <c r="D228" t="inlineStr">
        <is>
          <t>Metropolitan</t>
        </is>
      </c>
      <c r="E228" s="5" t="n">
        <v>1333</v>
      </c>
      <c r="F228" s="4" t="n">
        <v>0.477119279819955</v>
      </c>
      <c r="G228" s="4" t="n">
        <v>0.6065236646776203</v>
      </c>
      <c r="H228" s="3" t="n">
        <v>16510912.34055613</v>
      </c>
      <c r="I228" s="3" t="n">
        <v>1074069.865843054</v>
      </c>
      <c r="J228" s="4" t="n">
        <v>0.06505212090580791</v>
      </c>
      <c r="K228">
        <f>IF(AND(I228&gt;0,J228&gt;=Assumptions!$B$4),1,0)</f>
        <v/>
      </c>
      <c r="L228" s="3">
        <f>I228*K228</f>
        <v/>
      </c>
      <c r="M228">
        <f>SUM($K$2:K228)</f>
        <v/>
      </c>
    </row>
    <row r="229">
      <c r="A229" t="inlineStr">
        <is>
          <t>500058</t>
        </is>
      </c>
      <c r="B229" t="inlineStr">
        <is>
          <t>Kadlec Regional Medical Center</t>
        </is>
      </c>
      <c r="C229" t="inlineStr">
        <is>
          <t>WA</t>
        </is>
      </c>
      <c r="D229" t="inlineStr">
        <is>
          <t>Metropolitan</t>
        </is>
      </c>
      <c r="E229" s="5" t="n">
        <v>3971</v>
      </c>
      <c r="F229" s="4" t="n">
        <v>0.5502392344497608</v>
      </c>
      <c r="G229" s="4" t="n">
        <v>0.5567942902762251</v>
      </c>
      <c r="H229" s="3" t="n">
        <v>72522069.86929764</v>
      </c>
      <c r="I229" s="3" t="n">
        <v>1066328.255886808</v>
      </c>
      <c r="J229" s="4" t="n">
        <v>0.0147035000215601</v>
      </c>
      <c r="K229">
        <f>IF(AND(I229&gt;0,J229&gt;=Assumptions!$B$4),1,0)</f>
        <v/>
      </c>
      <c r="L229" s="3">
        <f>I229*K229</f>
        <v/>
      </c>
      <c r="M229">
        <f>SUM($K$2:K229)</f>
        <v/>
      </c>
    </row>
    <row r="230">
      <c r="A230" t="inlineStr">
        <is>
          <t>100026</t>
        </is>
      </c>
      <c r="B230" t="inlineStr">
        <is>
          <t>Ascension Sacred Heart Bay</t>
        </is>
      </c>
      <c r="C230" t="inlineStr">
        <is>
          <t>FL</t>
        </is>
      </c>
      <c r="D230" t="inlineStr">
        <is>
          <t>Metropolitan</t>
        </is>
      </c>
      <c r="E230" s="5" t="n">
        <v>1573</v>
      </c>
      <c r="F230" s="4" t="n">
        <v>0.5371900826446281</v>
      </c>
      <c r="G230" s="4" t="n">
        <v>0.5660394801089776</v>
      </c>
      <c r="H230" s="3" t="n">
        <v>26170732.73989109</v>
      </c>
      <c r="I230" s="3" t="n">
        <v>1065840.847387478</v>
      </c>
      <c r="J230" s="4" t="n">
        <v>0.0407264427015012</v>
      </c>
      <c r="K230">
        <f>IF(AND(I230&gt;0,J230&gt;=Assumptions!$B$4),1,0)</f>
        <v/>
      </c>
      <c r="L230" s="3">
        <f>I230*K230</f>
        <v/>
      </c>
      <c r="M230">
        <f>SUM($K$2:K230)</f>
        <v/>
      </c>
    </row>
    <row r="231">
      <c r="A231" t="inlineStr">
        <is>
          <t>390270</t>
        </is>
      </c>
      <c r="B231" t="inlineStr">
        <is>
          <t>Geisinger Wyoming Valley Medical Center</t>
        </is>
      </c>
      <c r="C231" t="inlineStr">
        <is>
          <t>PA</t>
        </is>
      </c>
      <c r="D231" t="inlineStr">
        <is>
          <t>Metropolitan</t>
        </is>
      </c>
      <c r="E231" s="5" t="n">
        <v>3476</v>
      </c>
      <c r="F231" s="4" t="n">
        <v>0.5486191024165707</v>
      </c>
      <c r="G231" s="4" t="n">
        <v>0.5906577039842447</v>
      </c>
      <c r="H231" s="3" t="n">
        <v>57560753.48991112</v>
      </c>
      <c r="I231" s="3" t="n">
        <v>1064023.911410034</v>
      </c>
      <c r="J231" s="4" t="n">
        <v>0.0184852325047574</v>
      </c>
      <c r="K231">
        <f>IF(AND(I231&gt;0,J231&gt;=Assumptions!$B$4),1,0)</f>
        <v/>
      </c>
      <c r="L231" s="3">
        <f>I231*K231</f>
        <v/>
      </c>
      <c r="M231">
        <f>SUM($K$2:K231)</f>
        <v/>
      </c>
    </row>
    <row r="232">
      <c r="A232" t="inlineStr">
        <is>
          <t>220084</t>
        </is>
      </c>
      <c r="B232" t="inlineStr">
        <is>
          <t>Emerson Hospital -</t>
        </is>
      </c>
      <c r="C232" t="inlineStr">
        <is>
          <t>MA</t>
        </is>
      </c>
      <c r="D232" t="inlineStr">
        <is>
          <t>Metropolitan</t>
        </is>
      </c>
      <c r="E232" s="5" t="n">
        <v>1424</v>
      </c>
      <c r="F232" s="4" t="n">
        <v>0.5273876404494382</v>
      </c>
      <c r="G232" s="4" t="n">
        <v>0.599906457964491</v>
      </c>
      <c r="H232" s="3" t="n">
        <v>18286388.89312976</v>
      </c>
      <c r="I232" s="3" t="n">
        <v>1061128.933772105</v>
      </c>
      <c r="J232" s="4" t="n">
        <v>0.0580283477494441</v>
      </c>
      <c r="K232">
        <f>IF(AND(I232&gt;0,J232&gt;=Assumptions!$B$4),1,0)</f>
        <v/>
      </c>
      <c r="L232" s="3">
        <f>I232*K232</f>
        <v/>
      </c>
      <c r="M232">
        <f>SUM($K$2:K232)</f>
        <v/>
      </c>
    </row>
    <row r="233">
      <c r="A233" t="inlineStr">
        <is>
          <t>360112</t>
        </is>
      </c>
      <c r="B233" t="inlineStr">
        <is>
          <t>Mercy Health St Vincent Medical Center</t>
        </is>
      </c>
      <c r="C233" t="inlineStr">
        <is>
          <t>OH</t>
        </is>
      </c>
      <c r="D233" t="inlineStr">
        <is>
          <t>Metropolitan</t>
        </is>
      </c>
      <c r="E233" s="5" t="n">
        <v>4766</v>
      </c>
      <c r="F233" s="4" t="n">
        <v>0.5054553084347461</v>
      </c>
      <c r="G233" s="4" t="n">
        <v>0.5331216421450841</v>
      </c>
      <c r="H233" s="3" t="n">
        <v>74074104.04815191</v>
      </c>
      <c r="I233" s="3" t="n">
        <v>1058820.031723737</v>
      </c>
      <c r="J233" s="4" t="n">
        <v>0.0142940646441764</v>
      </c>
      <c r="K233">
        <f>IF(AND(I233&gt;0,J233&gt;=Assumptions!$B$4),1,0)</f>
        <v/>
      </c>
      <c r="L233" s="3">
        <f>I233*K233</f>
        <v/>
      </c>
      <c r="M233">
        <f>SUM($K$2:K233)</f>
        <v/>
      </c>
    </row>
    <row r="234">
      <c r="A234" t="inlineStr">
        <is>
          <t>180141</t>
        </is>
      </c>
      <c r="B234" t="inlineStr">
        <is>
          <t>University Of Louisville Hospital</t>
        </is>
      </c>
      <c r="C234" t="inlineStr">
        <is>
          <t>KY</t>
        </is>
      </c>
      <c r="D234" t="inlineStr">
        <is>
          <t>Metropolitan</t>
        </is>
      </c>
      <c r="E234" s="5" t="n">
        <v>1008</v>
      </c>
      <c r="F234" s="4" t="n">
        <v>0.4623015873015873</v>
      </c>
      <c r="G234" s="4" t="n">
        <v>0.5190566994343165</v>
      </c>
      <c r="H234" s="3" t="n">
        <v>20086948.37353044</v>
      </c>
      <c r="I234" s="3" t="n">
        <v>1056932.748283774</v>
      </c>
      <c r="J234" s="4" t="n">
        <v>0.0526178854363237</v>
      </c>
      <c r="K234">
        <f>IF(AND(I234&gt;0,J234&gt;=Assumptions!$B$4),1,0)</f>
        <v/>
      </c>
      <c r="L234" s="3">
        <f>I234*K234</f>
        <v/>
      </c>
      <c r="M234">
        <f>SUM($K$2:K234)</f>
        <v/>
      </c>
    </row>
    <row r="235">
      <c r="A235" t="inlineStr">
        <is>
          <t>190176</t>
        </is>
      </c>
      <c r="B235" t="inlineStr">
        <is>
          <t>East Jefferson General Hospital</t>
        </is>
      </c>
      <c r="C235" t="inlineStr">
        <is>
          <t>LA</t>
        </is>
      </c>
      <c r="D235" t="inlineStr">
        <is>
          <t>Metropolitan</t>
        </is>
      </c>
      <c r="E235" s="5" t="n">
        <v>2487</v>
      </c>
      <c r="F235" s="4" t="n">
        <v>0.4981905910735826</v>
      </c>
      <c r="G235" s="4" t="n">
        <v>0.5582462448358607</v>
      </c>
      <c r="H235" s="3" t="n">
        <v>40406318.21924743</v>
      </c>
      <c r="I235" s="3" t="n">
        <v>1051873.85209199</v>
      </c>
      <c r="J235" s="4" t="n">
        <v>0.0260324102380338</v>
      </c>
      <c r="K235">
        <f>IF(AND(I235&gt;0,J235&gt;=Assumptions!$B$4),1,0)</f>
        <v/>
      </c>
      <c r="L235" s="3">
        <f>I235*K235</f>
        <v/>
      </c>
      <c r="M235">
        <f>SUM($K$2:K235)</f>
        <v/>
      </c>
    </row>
    <row r="236">
      <c r="A236" t="inlineStr">
        <is>
          <t>060119</t>
        </is>
      </c>
      <c r="B236" t="inlineStr">
        <is>
          <t>Medical Center Of The Rockies</t>
        </is>
      </c>
      <c r="C236" t="inlineStr">
        <is>
          <t>CO</t>
        </is>
      </c>
      <c r="D236" t="inlineStr">
        <is>
          <t>Metropolitan</t>
        </is>
      </c>
      <c r="E236" s="5" t="n">
        <v>2226</v>
      </c>
      <c r="F236" s="4" t="n">
        <v>0.3948787061994609</v>
      </c>
      <c r="G236" s="4" t="n">
        <v>0.4287894846585972</v>
      </c>
      <c r="H236" s="3" t="n">
        <v>52393917.82582487</v>
      </c>
      <c r="I236" s="3" t="n">
        <v>1051470.307064071</v>
      </c>
      <c r="J236" s="4" t="n">
        <v>0.0200685566320792</v>
      </c>
      <c r="K236">
        <f>IF(AND(I236&gt;0,J236&gt;=Assumptions!$B$4),1,0)</f>
        <v/>
      </c>
      <c r="L236" s="3">
        <f>I236*K236</f>
        <v/>
      </c>
      <c r="M236">
        <f>SUM($K$2:K236)</f>
        <v/>
      </c>
    </row>
    <row r="237">
      <c r="A237" t="inlineStr">
        <is>
          <t>450137</t>
        </is>
      </c>
      <c r="B237" t="inlineStr">
        <is>
          <t>Baylor Scott And White All Saints Medical Center</t>
        </is>
      </c>
      <c r="C237" t="inlineStr">
        <is>
          <t>TX</t>
        </is>
      </c>
      <c r="D237" t="inlineStr">
        <is>
          <t>Metropolitan</t>
        </is>
      </c>
      <c r="E237" s="5" t="n">
        <v>2562</v>
      </c>
      <c r="F237" s="4" t="n">
        <v>0.4914129586260733</v>
      </c>
      <c r="G237" s="4" t="n">
        <v>0.5375227849893287</v>
      </c>
      <c r="H237" s="3" t="n">
        <v>48023145.20897912</v>
      </c>
      <c r="I237" s="3" t="n">
        <v>1050219.640337952</v>
      </c>
      <c r="J237" s="4" t="n">
        <v>0.0218690307718867</v>
      </c>
      <c r="K237">
        <f>IF(AND(I237&gt;0,J237&gt;=Assumptions!$B$4),1,0)</f>
        <v/>
      </c>
      <c r="L237" s="3">
        <f>I237*K237</f>
        <v/>
      </c>
      <c r="M237">
        <f>SUM($K$2:K237)</f>
        <v/>
      </c>
    </row>
    <row r="238">
      <c r="A238" t="inlineStr">
        <is>
          <t>220108</t>
        </is>
      </c>
      <c r="B238" t="inlineStr">
        <is>
          <t>Beth Israel Deaconess Hospital-Milton Inc</t>
        </is>
      </c>
      <c r="C238" t="inlineStr">
        <is>
          <t>MA</t>
        </is>
      </c>
      <c r="D238" t="inlineStr">
        <is>
          <t>Metropolitan</t>
        </is>
      </c>
      <c r="E238" s="5" t="n">
        <v>1508</v>
      </c>
      <c r="F238" s="4" t="n">
        <v>0.493368700265252</v>
      </c>
      <c r="G238" s="4" t="n">
        <v>0.6036425970586632</v>
      </c>
      <c r="H238" s="3" t="n">
        <v>19999978.4931387</v>
      </c>
      <c r="I238" s="3" t="n">
        <v>1037293.342405513</v>
      </c>
      <c r="J238" s="4" t="n">
        <v>0.0518647228926457</v>
      </c>
      <c r="K238">
        <f>IF(AND(I238&gt;0,J238&gt;=Assumptions!$B$4),1,0)</f>
        <v/>
      </c>
      <c r="L238" s="3">
        <f>I238*K238</f>
        <v/>
      </c>
      <c r="M238">
        <f>SUM($K$2:K238)</f>
        <v/>
      </c>
    </row>
    <row r="239">
      <c r="A239" t="inlineStr">
        <is>
          <t>330027</t>
        </is>
      </c>
      <c r="B239" t="inlineStr">
        <is>
          <t>Nassau University Medical Center</t>
        </is>
      </c>
      <c r="C239" t="inlineStr">
        <is>
          <t>NY</t>
        </is>
      </c>
      <c r="D239" t="inlineStr">
        <is>
          <t>Metropolitan</t>
        </is>
      </c>
      <c r="E239" s="5" t="n">
        <v>1254</v>
      </c>
      <c r="F239" s="4" t="n">
        <v>0.372408293460925</v>
      </c>
      <c r="G239" s="4" t="n">
        <v>0.5186441632642774</v>
      </c>
      <c r="H239" s="3" t="n">
        <v>15958262.84597794</v>
      </c>
      <c r="I239" s="3" t="n">
        <v>1025314.432206968</v>
      </c>
      <c r="J239" s="4" t="n">
        <v>0.06424975212545669</v>
      </c>
      <c r="K239">
        <f>IF(AND(I239&gt;0,J239&gt;=Assumptions!$B$4),1,0)</f>
        <v/>
      </c>
      <c r="L239" s="3">
        <f>I239*K239</f>
        <v/>
      </c>
      <c r="M239">
        <f>SUM($K$2:K239)</f>
        <v/>
      </c>
    </row>
    <row r="240">
      <c r="A240" t="inlineStr">
        <is>
          <t>330401</t>
        </is>
      </c>
      <c r="B240" t="inlineStr">
        <is>
          <t>St Catherine Of Siena Hospital Medical Center</t>
        </is>
      </c>
      <c r="C240" t="inlineStr">
        <is>
          <t>NY</t>
        </is>
      </c>
      <c r="D240" t="inlineStr">
        <is>
          <t>Metropolitan</t>
        </is>
      </c>
      <c r="E240" s="5" t="n">
        <v>2991</v>
      </c>
      <c r="F240" s="4" t="n">
        <v>0.4978268137746573</v>
      </c>
      <c r="G240" s="4" t="n">
        <v>0.5581202511638444</v>
      </c>
      <c r="H240" s="3" t="n">
        <v>39344203.56828045</v>
      </c>
      <c r="I240" s="3" t="n">
        <v>1012305.36222288</v>
      </c>
      <c r="J240" s="4" t="n">
        <v>0.025729466361317</v>
      </c>
      <c r="K240">
        <f>IF(AND(I240&gt;0,J240&gt;=Assumptions!$B$4),1,0)</f>
        <v/>
      </c>
      <c r="L240" s="3">
        <f>I240*K240</f>
        <v/>
      </c>
      <c r="M240">
        <f>SUM($K$2:K240)</f>
        <v/>
      </c>
    </row>
    <row r="241">
      <c r="A241" t="inlineStr">
        <is>
          <t>360020</t>
        </is>
      </c>
      <c r="B241" t="inlineStr">
        <is>
          <t>Summa Health System</t>
        </is>
      </c>
      <c r="C241" t="inlineStr">
        <is>
          <t>OH</t>
        </is>
      </c>
      <c r="D241" t="inlineStr">
        <is>
          <t>Metropolitan</t>
        </is>
      </c>
      <c r="E241" s="5" t="n">
        <v>3239</v>
      </c>
      <c r="F241" s="4" t="n">
        <v>0.4970669959864155</v>
      </c>
      <c r="G241" s="4" t="n">
        <v>0.5483485679210287</v>
      </c>
      <c r="H241" s="3" t="n">
        <v>50799165.51973894</v>
      </c>
      <c r="I241" s="3" t="n">
        <v>1009144.397178456</v>
      </c>
      <c r="J241" s="4" t="n">
        <v>0.0198653735126088</v>
      </c>
      <c r="K241">
        <f>IF(AND(I241&gt;0,J241&gt;=Assumptions!$B$4),1,0)</f>
        <v/>
      </c>
      <c r="L241" s="3">
        <f>I241*K241</f>
        <v/>
      </c>
      <c r="M241">
        <f>SUM($K$2:K241)</f>
        <v/>
      </c>
    </row>
    <row r="242">
      <c r="A242" t="inlineStr">
        <is>
          <t>390231</t>
        </is>
      </c>
      <c r="B242" t="inlineStr">
        <is>
          <t>Abington Memorial Hospital</t>
        </is>
      </c>
      <c r="C242" t="inlineStr">
        <is>
          <t>PA</t>
        </is>
      </c>
      <c r="D242" t="inlineStr">
        <is>
          <t>Metropolitan</t>
        </is>
      </c>
      <c r="E242" s="5" t="n">
        <v>7021</v>
      </c>
      <c r="F242" s="4" t="n">
        <v>0.5225751317476143</v>
      </c>
      <c r="G242" s="4" t="n">
        <v>0.5424063241515376</v>
      </c>
      <c r="H242" s="3" t="n">
        <v>112087447.4341478</v>
      </c>
      <c r="I242" s="3" t="n">
        <v>1007288.190393299</v>
      </c>
      <c r="J242" s="4" t="n">
        <v>0.0089866279717457</v>
      </c>
      <c r="K242">
        <f>IF(AND(I242&gt;0,J242&gt;=Assumptions!$B$4),1,0)</f>
        <v/>
      </c>
      <c r="L242" s="3">
        <f>I242*K242</f>
        <v/>
      </c>
      <c r="M242">
        <f>SUM($K$2:K242)</f>
        <v/>
      </c>
    </row>
    <row r="243">
      <c r="A243" t="inlineStr">
        <is>
          <t>330107</t>
        </is>
      </c>
      <c r="B243" t="inlineStr">
        <is>
          <t>Peconic Bay Medical Center</t>
        </is>
      </c>
      <c r="C243" t="inlineStr">
        <is>
          <t>NY</t>
        </is>
      </c>
      <c r="D243" t="inlineStr">
        <is>
          <t>Metropolitan</t>
        </is>
      </c>
      <c r="E243" s="5" t="n">
        <v>2880</v>
      </c>
      <c r="F243" s="4" t="n">
        <v>0.4916666666666666</v>
      </c>
      <c r="G243" s="4" t="n">
        <v>0.5461052802008604</v>
      </c>
      <c r="H243" s="3" t="n">
        <v>38029652.91871154</v>
      </c>
      <c r="I243" s="3" t="n">
        <v>1006434.502960689</v>
      </c>
      <c r="J243" s="4" t="n">
        <v>0.0264644672175143</v>
      </c>
      <c r="K243">
        <f>IF(AND(I243&gt;0,J243&gt;=Assumptions!$B$4),1,0)</f>
        <v/>
      </c>
      <c r="L243" s="3">
        <f>I243*K243</f>
        <v/>
      </c>
      <c r="M243">
        <f>SUM($K$2:K243)</f>
        <v/>
      </c>
    </row>
    <row r="244">
      <c r="A244" t="inlineStr">
        <is>
          <t>330219</t>
        </is>
      </c>
      <c r="B244" t="inlineStr">
        <is>
          <t>Erie County Medical Center</t>
        </is>
      </c>
      <c r="C244" t="inlineStr">
        <is>
          <t>NY</t>
        </is>
      </c>
      <c r="D244" t="inlineStr">
        <is>
          <t>Metropolitan</t>
        </is>
      </c>
      <c r="E244" s="5" t="n">
        <v>1186</v>
      </c>
      <c r="F244" s="4" t="n">
        <v>0.3111298482293423</v>
      </c>
      <c r="G244" s="4" t="n">
        <v>0.4442696178481834</v>
      </c>
      <c r="H244" s="3" t="n">
        <v>17595750.43603465</v>
      </c>
      <c r="I244" s="3" t="n">
        <v>1004750.079871289</v>
      </c>
      <c r="J244" s="4" t="n">
        <v>0.0571018601067246</v>
      </c>
      <c r="K244">
        <f>IF(AND(I244&gt;0,J244&gt;=Assumptions!$B$4),1,0)</f>
        <v/>
      </c>
      <c r="L244" s="3">
        <f>I244*K244</f>
        <v/>
      </c>
      <c r="M244">
        <f>SUM($K$2:K244)</f>
        <v/>
      </c>
    </row>
    <row r="245">
      <c r="A245" t="inlineStr">
        <is>
          <t>450851</t>
        </is>
      </c>
      <c r="B245" t="inlineStr">
        <is>
          <t>Baylor Scott And White Heart And Vascular Hospital</t>
        </is>
      </c>
      <c r="C245" t="inlineStr">
        <is>
          <t>TX</t>
        </is>
      </c>
      <c r="D245" t="inlineStr">
        <is>
          <t>Metropolitan</t>
        </is>
      </c>
      <c r="E245" s="5" t="n">
        <v>918</v>
      </c>
      <c r="F245" s="4" t="n">
        <v>0.2766884531590414</v>
      </c>
      <c r="G245" s="4" t="n">
        <v>0.3787926406060116</v>
      </c>
      <c r="H245" s="3" t="n">
        <v>25141878.57809646</v>
      </c>
      <c r="I245" s="3" t="n">
        <v>1003862.202541675</v>
      </c>
      <c r="J245" s="4" t="n">
        <v>0.0399278916021906</v>
      </c>
      <c r="K245">
        <f>IF(AND(I245&gt;0,J245&gt;=Assumptions!$B$4),1,0)</f>
        <v/>
      </c>
      <c r="L245" s="3">
        <f>I245*K245</f>
        <v/>
      </c>
      <c r="M245">
        <f>SUM($K$2:K245)</f>
        <v/>
      </c>
    </row>
    <row r="246">
      <c r="A246" t="inlineStr">
        <is>
          <t>450779</t>
        </is>
      </c>
      <c r="B246" t="inlineStr">
        <is>
          <t>Texas Health Harris Methodist Hospital Southwest F</t>
        </is>
      </c>
      <c r="C246" t="inlineStr">
        <is>
          <t>TX</t>
        </is>
      </c>
      <c r="D246" t="inlineStr">
        <is>
          <t>Metropolitan</t>
        </is>
      </c>
      <c r="E246" s="5" t="n">
        <v>1831</v>
      </c>
      <c r="F246" s="4" t="n">
        <v>0.5182960131075914</v>
      </c>
      <c r="G246" s="4" t="n">
        <v>0.5690273111273078</v>
      </c>
      <c r="H246" s="3" t="n">
        <v>27318379.80009609</v>
      </c>
      <c r="I246" s="3" t="n">
        <v>999585.6955023856</v>
      </c>
      <c r="J246" s="4" t="n">
        <v>0.0365902261706922</v>
      </c>
      <c r="K246">
        <f>IF(AND(I246&gt;0,J246&gt;=Assumptions!$B$4),1,0)</f>
        <v/>
      </c>
      <c r="L246" s="3">
        <f>I246*K246</f>
        <v/>
      </c>
      <c r="M246">
        <f>SUM($K$2:K246)</f>
        <v/>
      </c>
    </row>
    <row r="247">
      <c r="A247" t="inlineStr">
        <is>
          <t>050492</t>
        </is>
      </c>
      <c r="B247" t="inlineStr">
        <is>
          <t>Clovis Community Medical Center</t>
        </is>
      </c>
      <c r="C247" t="inlineStr">
        <is>
          <t>CA</t>
        </is>
      </c>
      <c r="D247" t="inlineStr">
        <is>
          <t>Metropolitan</t>
        </is>
      </c>
      <c r="E247" s="5" t="n">
        <v>3440</v>
      </c>
      <c r="F247" s="4" t="n">
        <v>0.5415697674418605</v>
      </c>
      <c r="G247" s="4" t="n">
        <v>0.5945112161883871</v>
      </c>
      <c r="H247" s="3" t="n">
        <v>50463547.9246688</v>
      </c>
      <c r="I247" s="3" t="n">
        <v>996720.5282048284</v>
      </c>
      <c r="J247" s="4" t="n">
        <v>0.0197512971084141</v>
      </c>
      <c r="K247">
        <f>IF(AND(I247&gt;0,J247&gt;=Assumptions!$B$4),1,0)</f>
        <v/>
      </c>
      <c r="L247" s="3">
        <f>I247*K247</f>
        <v/>
      </c>
      <c r="M247">
        <f>SUM($K$2:K247)</f>
        <v/>
      </c>
    </row>
    <row r="248">
      <c r="A248" t="inlineStr">
        <is>
          <t>030103</t>
        </is>
      </c>
      <c r="B248" t="inlineStr">
        <is>
          <t>Mayo Clinic Hospital</t>
        </is>
      </c>
      <c r="C248" t="inlineStr">
        <is>
          <t>AZ</t>
        </is>
      </c>
      <c r="D248" t="inlineStr">
        <is>
          <t>Metropolitan</t>
        </is>
      </c>
      <c r="E248" s="5" t="n">
        <v>7937</v>
      </c>
      <c r="F248" s="4" t="n">
        <v>0.5165679727856873</v>
      </c>
      <c r="G248" s="4" t="n">
        <v>0.531226265987423</v>
      </c>
      <c r="H248" s="3" t="n">
        <v>155315783.9624127</v>
      </c>
      <c r="I248" s="3" t="n">
        <v>994582.1592925192</v>
      </c>
      <c r="J248" s="4" t="n">
        <v>0.0064036129098972</v>
      </c>
      <c r="K248">
        <f>IF(AND(I248&gt;0,J248&gt;=Assumptions!$B$4),1,0)</f>
        <v/>
      </c>
      <c r="L248" s="3">
        <f>I248*K248</f>
        <v/>
      </c>
      <c r="M248">
        <f>SUM($K$2:K248)</f>
        <v/>
      </c>
    </row>
    <row r="249">
      <c r="A249" t="inlineStr">
        <is>
          <t>420080</t>
        </is>
      </c>
      <c r="B249" t="inlineStr">
        <is>
          <t>Hilton Head Regional Medical Center</t>
        </is>
      </c>
      <c r="C249" t="inlineStr">
        <is>
          <t>SC</t>
        </is>
      </c>
      <c r="D249" t="inlineStr">
        <is>
          <t>Metropolitan</t>
        </is>
      </c>
      <c r="E249" s="5" t="n">
        <v>1475</v>
      </c>
      <c r="F249" s="4" t="n">
        <v>0.5010169491525424</v>
      </c>
      <c r="G249" s="4" t="n">
        <v>0.5728543923864189</v>
      </c>
      <c r="H249" s="3" t="n">
        <v>22384819.18605306</v>
      </c>
      <c r="I249" s="3" t="n">
        <v>992660.20178226</v>
      </c>
      <c r="J249" s="4" t="n">
        <v>0.0443452410105121</v>
      </c>
      <c r="K249">
        <f>IF(AND(I249&gt;0,J249&gt;=Assumptions!$B$4),1,0)</f>
        <v/>
      </c>
      <c r="L249" s="3">
        <f>I249*K249</f>
        <v/>
      </c>
      <c r="M249">
        <f>SUM($K$2:K249)</f>
        <v/>
      </c>
    </row>
    <row r="250">
      <c r="A250" t="inlineStr">
        <is>
          <t>330191</t>
        </is>
      </c>
      <c r="B250" t="inlineStr">
        <is>
          <t>Glens Falls Hospital</t>
        </is>
      </c>
      <c r="C250" t="inlineStr">
        <is>
          <t>NY</t>
        </is>
      </c>
      <c r="D250" t="inlineStr">
        <is>
          <t>Metropolitan</t>
        </is>
      </c>
      <c r="E250" s="5" t="n">
        <v>1385</v>
      </c>
      <c r="F250" s="4" t="n">
        <v>0.5184115523465704</v>
      </c>
      <c r="G250" s="4" t="n">
        <v>0.6436933417655147</v>
      </c>
      <c r="H250" s="3" t="n">
        <v>19105209.37410814</v>
      </c>
      <c r="I250" s="3" t="n">
        <v>991950.4090582988</v>
      </c>
      <c r="J250" s="4" t="n">
        <v>0.0519204155073335</v>
      </c>
      <c r="K250">
        <f>IF(AND(I250&gt;0,J250&gt;=Assumptions!$B$4),1,0)</f>
        <v/>
      </c>
      <c r="L250" s="3">
        <f>I250*K250</f>
        <v/>
      </c>
      <c r="M250">
        <f>SUM($K$2:K250)</f>
        <v/>
      </c>
    </row>
    <row r="251">
      <c r="A251" t="inlineStr">
        <is>
          <t>340014</t>
        </is>
      </c>
      <c r="B251" t="inlineStr">
        <is>
          <t>Novant Health Forsyth Medical Center</t>
        </is>
      </c>
      <c r="C251" t="inlineStr">
        <is>
          <t>NC</t>
        </is>
      </c>
      <c r="D251" t="inlineStr">
        <is>
          <t>Metropolitan</t>
        </is>
      </c>
      <c r="E251" s="5" t="n">
        <v>5044</v>
      </c>
      <c r="F251" s="4" t="n">
        <v>0.5576923076923077</v>
      </c>
      <c r="G251" s="4" t="n">
        <v>0.5584917426935886</v>
      </c>
      <c r="H251" s="3" t="n">
        <v>86176576.64560527</v>
      </c>
      <c r="I251" s="3" t="n">
        <v>989625.4745156168</v>
      </c>
      <c r="J251" s="4" t="n">
        <v>0.0114836944450158</v>
      </c>
      <c r="K251">
        <f>IF(AND(I251&gt;0,J251&gt;=Assumptions!$B$4),1,0)</f>
        <v/>
      </c>
      <c r="L251" s="3">
        <f>I251*K251</f>
        <v/>
      </c>
      <c r="M251">
        <f>SUM($K$2:K251)</f>
        <v/>
      </c>
    </row>
    <row r="252">
      <c r="A252" t="inlineStr">
        <is>
          <t>520089</t>
        </is>
      </c>
      <c r="B252" t="inlineStr">
        <is>
          <t>Unitypoint Health - Meriter</t>
        </is>
      </c>
      <c r="C252" t="inlineStr">
        <is>
          <t>WI</t>
        </is>
      </c>
      <c r="D252" t="inlineStr">
        <is>
          <t>Metropolitan</t>
        </is>
      </c>
      <c r="E252" s="5" t="n">
        <v>2521</v>
      </c>
      <c r="F252" s="4" t="n">
        <v>0.5458151527171757</v>
      </c>
      <c r="G252" s="4" t="n">
        <v>0.571920581538641</v>
      </c>
      <c r="H252" s="3" t="n">
        <v>35885419.87055827</v>
      </c>
      <c r="I252" s="3" t="n">
        <v>988952.1883747056</v>
      </c>
      <c r="J252" s="4" t="n">
        <v>0.0275586071430107</v>
      </c>
      <c r="K252">
        <f>IF(AND(I252&gt;0,J252&gt;=Assumptions!$B$4),1,0)</f>
        <v/>
      </c>
      <c r="L252" s="3">
        <f>I252*K252</f>
        <v/>
      </c>
      <c r="M252">
        <f>SUM($K$2:K252)</f>
        <v/>
      </c>
    </row>
    <row r="253">
      <c r="A253" t="inlineStr">
        <is>
          <t>300034</t>
        </is>
      </c>
      <c r="B253" t="inlineStr">
        <is>
          <t>Catholic Medical Center</t>
        </is>
      </c>
      <c r="C253" t="inlineStr">
        <is>
          <t>NH</t>
        </is>
      </c>
      <c r="D253" t="inlineStr">
        <is>
          <t>Metropolitan</t>
        </is>
      </c>
      <c r="E253" s="5" t="n">
        <v>2692</v>
      </c>
      <c r="F253" s="4" t="n">
        <v>0.4996285289747399</v>
      </c>
      <c r="G253" s="4" t="n">
        <v>0.5573738859360544</v>
      </c>
      <c r="H253" s="3" t="n">
        <v>51060003.89148378</v>
      </c>
      <c r="I253" s="3" t="n">
        <v>982766.0634425282</v>
      </c>
      <c r="J253" s="4" t="n">
        <v>0.0192472774880936</v>
      </c>
      <c r="K253">
        <f>IF(AND(I253&gt;0,J253&gt;=Assumptions!$B$4),1,0)</f>
        <v/>
      </c>
      <c r="L253" s="3">
        <f>I253*K253</f>
        <v/>
      </c>
      <c r="M253">
        <f>SUM($K$2:K253)</f>
        <v/>
      </c>
    </row>
    <row r="254">
      <c r="A254" t="inlineStr">
        <is>
          <t>100220</t>
        </is>
      </c>
      <c r="B254" t="inlineStr">
        <is>
          <t>Gulf Coast Medical Center Lee Mem Health System</t>
        </is>
      </c>
      <c r="C254" t="inlineStr">
        <is>
          <t>FL</t>
        </is>
      </c>
      <c r="D254" t="inlineStr">
        <is>
          <t>Metropolitan</t>
        </is>
      </c>
      <c r="E254" s="5" t="n">
        <v>6989</v>
      </c>
      <c r="F254" s="4" t="n">
        <v>0.5173844612963228</v>
      </c>
      <c r="G254" s="4" t="n">
        <v>0.5234594859532031</v>
      </c>
      <c r="H254" s="3" t="n">
        <v>113780105.1030104</v>
      </c>
      <c r="I254" s="3" t="n">
        <v>979000.8063105792</v>
      </c>
      <c r="J254" s="4" t="n">
        <v>0.008604323272721899</v>
      </c>
      <c r="K254">
        <f>IF(AND(I254&gt;0,J254&gt;=Assumptions!$B$4),1,0)</f>
        <v/>
      </c>
      <c r="L254" s="3">
        <f>I254*K254</f>
        <v/>
      </c>
      <c r="M254">
        <f>SUM($K$2:K254)</f>
        <v/>
      </c>
    </row>
    <row r="255">
      <c r="A255" t="inlineStr">
        <is>
          <t>110051</t>
        </is>
      </c>
      <c r="B255" t="inlineStr">
        <is>
          <t>Union General Hospital</t>
        </is>
      </c>
      <c r="C255" t="inlineStr">
        <is>
          <t>GA</t>
        </is>
      </c>
      <c r="D255" t="inlineStr">
        <is>
          <t>Rural</t>
        </is>
      </c>
      <c r="E255" s="5" t="n">
        <v>605</v>
      </c>
      <c r="F255" s="4" t="n">
        <v>0.3173553719008264</v>
      </c>
      <c r="G255" s="4" t="n">
        <v>0.5896942854819989</v>
      </c>
      <c r="H255" s="3" t="n">
        <v>7575342.398180476</v>
      </c>
      <c r="I255" s="3" t="n">
        <v>976857.004384202</v>
      </c>
      <c r="J255" s="4" t="n">
        <v>0.1289521916024328</v>
      </c>
      <c r="K255">
        <f>IF(AND(I255&gt;0,J255&gt;=Assumptions!$B$4),1,0)</f>
        <v/>
      </c>
      <c r="L255" s="3">
        <f>I255*K255</f>
        <v/>
      </c>
      <c r="M255">
        <f>SUM($K$2:K255)</f>
        <v/>
      </c>
    </row>
    <row r="256">
      <c r="A256" t="inlineStr">
        <is>
          <t>150173</t>
        </is>
      </c>
      <c r="B256" t="inlineStr">
        <is>
          <t>Indiana University Health Arnett Hospital</t>
        </is>
      </c>
      <c r="C256" t="inlineStr">
        <is>
          <t>IN</t>
        </is>
      </c>
      <c r="D256" t="inlineStr">
        <is>
          <t>Metropolitan</t>
        </is>
      </c>
      <c r="E256" s="5" t="n">
        <v>2050</v>
      </c>
      <c r="F256" s="4" t="n">
        <v>0.5541463414634147</v>
      </c>
      <c r="G256" s="4" t="n">
        <v>0.6036240637417239</v>
      </c>
      <c r="H256" s="3" t="n">
        <v>28418033.75356162</v>
      </c>
      <c r="I256" s="3" t="n">
        <v>964530.7018276677</v>
      </c>
      <c r="J256" s="4" t="n">
        <v>0.033940796544616</v>
      </c>
      <c r="K256">
        <f>IF(AND(I256&gt;0,J256&gt;=Assumptions!$B$4),1,0)</f>
        <v/>
      </c>
      <c r="L256" s="3">
        <f>I256*K256</f>
        <v/>
      </c>
      <c r="M256">
        <f>SUM($K$2:K256)</f>
        <v/>
      </c>
    </row>
    <row r="257">
      <c r="A257" t="inlineStr">
        <is>
          <t>100231</t>
        </is>
      </c>
      <c r="B257" t="inlineStr">
        <is>
          <t>Hca Florida West Hospital</t>
        </is>
      </c>
      <c r="C257" t="inlineStr">
        <is>
          <t>FL</t>
        </is>
      </c>
      <c r="D257" t="inlineStr">
        <is>
          <t>Metropolitan</t>
        </is>
      </c>
      <c r="E257" s="5" t="n">
        <v>2763</v>
      </c>
      <c r="F257" s="4" t="n">
        <v>0.4965617082880926</v>
      </c>
      <c r="G257" s="4" t="n">
        <v>0.5319289519518351</v>
      </c>
      <c r="H257" s="3" t="n">
        <v>43796310.50263496</v>
      </c>
      <c r="I257" s="3" t="n">
        <v>960018.7681503521</v>
      </c>
      <c r="J257" s="4" t="n">
        <v>0.0219200831561506</v>
      </c>
      <c r="K257">
        <f>IF(AND(I257&gt;0,J257&gt;=Assumptions!$B$4),1,0)</f>
        <v/>
      </c>
      <c r="L257" s="3">
        <f>I257*K257</f>
        <v/>
      </c>
      <c r="M257">
        <f>SUM($K$2:K257)</f>
        <v/>
      </c>
    </row>
    <row r="258">
      <c r="A258" t="inlineStr">
        <is>
          <t>450388</t>
        </is>
      </c>
      <c r="B258" t="inlineStr">
        <is>
          <t>Methodist Hospital</t>
        </is>
      </c>
      <c r="C258" t="inlineStr">
        <is>
          <t>TX</t>
        </is>
      </c>
      <c r="D258" t="inlineStr">
        <is>
          <t>Metropolitan</t>
        </is>
      </c>
      <c r="E258" s="5" t="n">
        <v>14855</v>
      </c>
      <c r="F258" s="4" t="n">
        <v>0.5397509256142713</v>
      </c>
      <c r="G258" s="4" t="n">
        <v>0.5389143365070969</v>
      </c>
      <c r="H258" s="3" t="n">
        <v>260389246.2682426</v>
      </c>
      <c r="I258" s="3" t="n">
        <v>949365.6368018688</v>
      </c>
      <c r="J258" s="4" t="n">
        <v>0.0036459479429648</v>
      </c>
      <c r="K258">
        <f>IF(AND(I258&gt;0,J258&gt;=Assumptions!$B$4),1,0)</f>
        <v/>
      </c>
      <c r="L258" s="3">
        <f>I258*K258</f>
        <v/>
      </c>
      <c r="M258">
        <f>SUM($K$2:K258)</f>
        <v/>
      </c>
    </row>
    <row r="259">
      <c r="A259" t="inlineStr">
        <is>
          <t>510024</t>
        </is>
      </c>
      <c r="B259" t="inlineStr">
        <is>
          <t>Mon Health Medical Center</t>
        </is>
      </c>
      <c r="C259" t="inlineStr">
        <is>
          <t>WV</t>
        </is>
      </c>
      <c r="D259" t="inlineStr">
        <is>
          <t>Metropolitan</t>
        </is>
      </c>
      <c r="E259" s="5" t="n">
        <v>1247</v>
      </c>
      <c r="F259" s="4" t="n">
        <v>0.4939855653568564</v>
      </c>
      <c r="G259" s="4" t="n">
        <v>0.5589178081176358</v>
      </c>
      <c r="H259" s="3" t="n">
        <v>20650880.80982825</v>
      </c>
      <c r="I259" s="3" t="n">
        <v>941267.034815848</v>
      </c>
      <c r="J259" s="4" t="n">
        <v>0.0455799945524781</v>
      </c>
      <c r="K259">
        <f>IF(AND(I259&gt;0,J259&gt;=Assumptions!$B$4),1,0)</f>
        <v/>
      </c>
      <c r="L259" s="3">
        <f>I259*K259</f>
        <v/>
      </c>
      <c r="M259">
        <f>SUM($K$2:K259)</f>
        <v/>
      </c>
    </row>
    <row r="260">
      <c r="A260" t="inlineStr">
        <is>
          <t>230053</t>
        </is>
      </c>
      <c r="B260" t="inlineStr">
        <is>
          <t>Henry Ford Health Hospital</t>
        </is>
      </c>
      <c r="C260" t="inlineStr">
        <is>
          <t>MI</t>
        </is>
      </c>
      <c r="D260" t="inlineStr">
        <is>
          <t>Metropolitan</t>
        </is>
      </c>
      <c r="E260" s="5" t="n">
        <v>3634</v>
      </c>
      <c r="F260" s="4" t="n">
        <v>0.5055035773252614</v>
      </c>
      <c r="G260" s="4" t="n">
        <v>0.5551547824238439</v>
      </c>
      <c r="H260" s="3" t="n">
        <v>71818095.69324757</v>
      </c>
      <c r="I260" s="3" t="n">
        <v>931800.2324993908</v>
      </c>
      <c r="J260" s="4" t="n">
        <v>0.0129744491761426</v>
      </c>
      <c r="K260">
        <f>IF(AND(I260&gt;0,J260&gt;=Assumptions!$B$4),1,0)</f>
        <v/>
      </c>
      <c r="L260" s="3">
        <f>I260*K260</f>
        <v/>
      </c>
      <c r="M260">
        <f>SUM($K$2:K260)</f>
        <v/>
      </c>
    </row>
    <row r="261">
      <c r="A261" t="inlineStr">
        <is>
          <t>190125</t>
        </is>
      </c>
      <c r="B261" t="inlineStr">
        <is>
          <t>St Francis Medical Center</t>
        </is>
      </c>
      <c r="C261" t="inlineStr">
        <is>
          <t>LA</t>
        </is>
      </c>
      <c r="D261" t="inlineStr">
        <is>
          <t>Metropolitan</t>
        </is>
      </c>
      <c r="E261" s="5" t="n">
        <v>2076</v>
      </c>
      <c r="F261" s="4" t="n">
        <v>0.5443159922928709</v>
      </c>
      <c r="G261" s="4" t="n">
        <v>0.57899167738692</v>
      </c>
      <c r="H261" s="3" t="n">
        <v>34764857.04846858</v>
      </c>
      <c r="I261" s="3" t="n">
        <v>919390.215705976</v>
      </c>
      <c r="J261" s="4" t="n">
        <v>0.0264459656607871</v>
      </c>
      <c r="K261">
        <f>IF(AND(I261&gt;0,J261&gt;=Assumptions!$B$4),1,0)</f>
        <v/>
      </c>
      <c r="L261" s="3">
        <f>I261*K261</f>
        <v/>
      </c>
      <c r="M261">
        <f>SUM($K$2:K261)</f>
        <v/>
      </c>
    </row>
    <row r="262">
      <c r="A262" t="inlineStr">
        <is>
          <t>150128</t>
        </is>
      </c>
      <c r="B262" t="inlineStr">
        <is>
          <t>Community Hospital South</t>
        </is>
      </c>
      <c r="C262" t="inlineStr">
        <is>
          <t>IN</t>
        </is>
      </c>
      <c r="D262" t="inlineStr">
        <is>
          <t>Metropolitan</t>
        </is>
      </c>
      <c r="E262" s="5" t="n">
        <v>1260</v>
      </c>
      <c r="F262" s="4" t="n">
        <v>0.4468253968253968</v>
      </c>
      <c r="G262" s="4" t="n">
        <v>0.5541101044446122</v>
      </c>
      <c r="H262" s="3" t="n">
        <v>17010297.28681982</v>
      </c>
      <c r="I262" s="3" t="n">
        <v>918825.7773218324</v>
      </c>
      <c r="J262" s="4" t="n">
        <v>0.0540158565032117</v>
      </c>
      <c r="K262">
        <f>IF(AND(I262&gt;0,J262&gt;=Assumptions!$B$4),1,0)</f>
        <v/>
      </c>
      <c r="L262" s="3">
        <f>I262*K262</f>
        <v/>
      </c>
      <c r="M262">
        <f>SUM($K$2:K262)</f>
        <v/>
      </c>
    </row>
    <row r="263">
      <c r="A263" t="inlineStr">
        <is>
          <t>390233</t>
        </is>
      </c>
      <c r="B263" t="inlineStr">
        <is>
          <t>Upmc Hanover</t>
        </is>
      </c>
      <c r="C263" t="inlineStr">
        <is>
          <t>PA</t>
        </is>
      </c>
      <c r="D263" t="inlineStr">
        <is>
          <t>Metropolitan</t>
        </is>
      </c>
      <c r="E263" s="5" t="n">
        <v>1161</v>
      </c>
      <c r="F263" s="4" t="n">
        <v>0.5297157622739018</v>
      </c>
      <c r="G263" s="4" t="n">
        <v>0.6341445029147188</v>
      </c>
      <c r="H263" s="3" t="n">
        <v>15446593.34909097</v>
      </c>
      <c r="I263" s="3" t="n">
        <v>915622.8353761248</v>
      </c>
      <c r="J263" s="4" t="n">
        <v>0.0592766841647973</v>
      </c>
      <c r="K263">
        <f>IF(AND(I263&gt;0,J263&gt;=Assumptions!$B$4),1,0)</f>
        <v/>
      </c>
      <c r="L263" s="3">
        <f>I263*K263</f>
        <v/>
      </c>
      <c r="M263">
        <f>SUM($K$2:K263)</f>
        <v/>
      </c>
    </row>
    <row r="264">
      <c r="A264" t="inlineStr">
        <is>
          <t>050309</t>
        </is>
      </c>
      <c r="B264" t="inlineStr">
        <is>
          <t>Sutter Roseville Medical Center</t>
        </is>
      </c>
      <c r="C264" t="inlineStr">
        <is>
          <t>CA</t>
        </is>
      </c>
      <c r="D264" t="inlineStr">
        <is>
          <t>Metropolitan</t>
        </is>
      </c>
      <c r="E264" s="5" t="n">
        <v>6143</v>
      </c>
      <c r="F264" s="4" t="n">
        <v>0.5520104183623636</v>
      </c>
      <c r="G264" s="4" t="n">
        <v>0.5611443199638408</v>
      </c>
      <c r="H264" s="3" t="n">
        <v>96913072.29616413</v>
      </c>
      <c r="I264" s="3" t="n">
        <v>913149.7249308228</v>
      </c>
      <c r="J264" s="4" t="n">
        <v>0.009422358648792499</v>
      </c>
      <c r="K264">
        <f>IF(AND(I264&gt;0,J264&gt;=Assumptions!$B$4),1,0)</f>
        <v/>
      </c>
      <c r="L264" s="3">
        <f>I264*K264</f>
        <v/>
      </c>
      <c r="M264">
        <f>SUM($K$2:K264)</f>
        <v/>
      </c>
    </row>
    <row r="265">
      <c r="A265" t="inlineStr">
        <is>
          <t>450010</t>
        </is>
      </c>
      <c r="B265" t="inlineStr">
        <is>
          <t>United Regional Health Care System</t>
        </is>
      </c>
      <c r="C265" t="inlineStr">
        <is>
          <t>TX</t>
        </is>
      </c>
      <c r="D265" t="inlineStr">
        <is>
          <t>Metropolitan</t>
        </is>
      </c>
      <c r="E265" s="5" t="n">
        <v>4121</v>
      </c>
      <c r="F265" s="4" t="n">
        <v>0.5433147294346032</v>
      </c>
      <c r="G265" s="4" t="n">
        <v>0.5702262589280662</v>
      </c>
      <c r="H265" s="3" t="n">
        <v>55572588.5454576</v>
      </c>
      <c r="I265" s="3" t="n">
        <v>912844.0093831049</v>
      </c>
      <c r="J265" s="4" t="n">
        <v>0.0164261560110055</v>
      </c>
      <c r="K265">
        <f>IF(AND(I265&gt;0,J265&gt;=Assumptions!$B$4),1,0)</f>
        <v/>
      </c>
      <c r="L265" s="3">
        <f>I265*K265</f>
        <v/>
      </c>
      <c r="M265">
        <f>SUM($K$2:K265)</f>
        <v/>
      </c>
    </row>
    <row r="266">
      <c r="A266" t="inlineStr">
        <is>
          <t>230070</t>
        </is>
      </c>
      <c r="B266" t="inlineStr">
        <is>
          <t>Covenant Medical Center</t>
        </is>
      </c>
      <c r="C266" t="inlineStr">
        <is>
          <t>MI</t>
        </is>
      </c>
      <c r="D266" t="inlineStr">
        <is>
          <t>Metropolitan</t>
        </is>
      </c>
      <c r="E266" s="5" t="n">
        <v>3186</v>
      </c>
      <c r="F266" s="4" t="n">
        <v>0.5508474576271186</v>
      </c>
      <c r="G266" s="4" t="n">
        <v>0.574074788650587</v>
      </c>
      <c r="H266" s="3" t="n">
        <v>52286225.61162625</v>
      </c>
      <c r="I266" s="3" t="n">
        <v>910339.8072752878</v>
      </c>
      <c r="J266" s="4" t="n">
        <v>0.0174107003637467</v>
      </c>
      <c r="K266">
        <f>IF(AND(I266&gt;0,J266&gt;=Assumptions!$B$4),1,0)</f>
        <v/>
      </c>
      <c r="L266" s="3">
        <f>I266*K266</f>
        <v/>
      </c>
      <c r="M266">
        <f>SUM($K$2:K266)</f>
        <v/>
      </c>
    </row>
    <row r="267">
      <c r="A267" t="inlineStr">
        <is>
          <t>230066</t>
        </is>
      </c>
      <c r="B267" t="inlineStr">
        <is>
          <t>Trinity Health Muskegon Hospital</t>
        </is>
      </c>
      <c r="C267" t="inlineStr">
        <is>
          <t>MI</t>
        </is>
      </c>
      <c r="D267" t="inlineStr">
        <is>
          <t>Metropolitan</t>
        </is>
      </c>
      <c r="E267" s="5" t="n">
        <v>1676</v>
      </c>
      <c r="F267" s="4" t="n">
        <v>0.5250596658711217</v>
      </c>
      <c r="G267" s="4" t="n">
        <v>0.5537342930606811</v>
      </c>
      <c r="H267" s="3" t="n">
        <v>31998303.56555742</v>
      </c>
      <c r="I267" s="3" t="n">
        <v>908991.3203961848</v>
      </c>
      <c r="J267" s="4" t="n">
        <v>0.0284074847447416</v>
      </c>
      <c r="K267">
        <f>IF(AND(I267&gt;0,J267&gt;=Assumptions!$B$4),1,0)</f>
        <v/>
      </c>
      <c r="L267" s="3">
        <f>I267*K267</f>
        <v/>
      </c>
      <c r="M267">
        <f>SUM($K$2:K267)</f>
        <v/>
      </c>
    </row>
    <row r="268">
      <c r="A268" t="inlineStr">
        <is>
          <t>170086</t>
        </is>
      </c>
      <c r="B268" t="inlineStr">
        <is>
          <t>Stormont Vail Hospital</t>
        </is>
      </c>
      <c r="C268" t="inlineStr">
        <is>
          <t>KS</t>
        </is>
      </c>
      <c r="D268" t="inlineStr">
        <is>
          <t>Metropolitan</t>
        </is>
      </c>
      <c r="E268" s="5" t="n">
        <v>4338</v>
      </c>
      <c r="F268" s="4" t="n">
        <v>0.5115260488704472</v>
      </c>
      <c r="G268" s="4" t="n">
        <v>0.5329929177113771</v>
      </c>
      <c r="H268" s="3" t="n">
        <v>77088041.15434726</v>
      </c>
      <c r="I268" s="3" t="n">
        <v>906830.3964805304</v>
      </c>
      <c r="J268" s="4" t="n">
        <v>0.0117635677713597</v>
      </c>
      <c r="K268">
        <f>IF(AND(I268&gt;0,J268&gt;=Assumptions!$B$4),1,0)</f>
        <v/>
      </c>
      <c r="L268" s="3">
        <f>I268*K268</f>
        <v/>
      </c>
      <c r="M268">
        <f>SUM($K$2:K268)</f>
        <v/>
      </c>
    </row>
    <row r="269">
      <c r="A269" t="inlineStr">
        <is>
          <t>050334</t>
        </is>
      </c>
      <c r="B269" t="inlineStr">
        <is>
          <t>Salinas Valley Memorial Hospital</t>
        </is>
      </c>
      <c r="C269" t="inlineStr">
        <is>
          <t>CA</t>
        </is>
      </c>
      <c r="D269" t="inlineStr">
        <is>
          <t>Metropolitan</t>
        </is>
      </c>
      <c r="E269" s="5" t="n">
        <v>2809</v>
      </c>
      <c r="F269" s="4" t="n">
        <v>0.5493058027767889</v>
      </c>
      <c r="G269" s="4" t="n">
        <v>0.5963753667959923</v>
      </c>
      <c r="H269" s="3" t="n">
        <v>43378002.62327863</v>
      </c>
      <c r="I269" s="3" t="n">
        <v>906488.7389274836</v>
      </c>
      <c r="J269" s="4" t="n">
        <v>0.0208974292062267</v>
      </c>
      <c r="K269">
        <f>IF(AND(I269&gt;0,J269&gt;=Assumptions!$B$4),1,0)</f>
        <v/>
      </c>
      <c r="L269" s="3">
        <f>I269*K269</f>
        <v/>
      </c>
      <c r="M269">
        <f>SUM($K$2:K269)</f>
        <v/>
      </c>
    </row>
    <row r="270">
      <c r="A270" t="inlineStr">
        <is>
          <t>330224</t>
        </is>
      </c>
      <c r="B270" t="inlineStr">
        <is>
          <t>Healthalliance Hospital Marys Avenue Campus</t>
        </is>
      </c>
      <c r="C270" t="inlineStr">
        <is>
          <t>NY</t>
        </is>
      </c>
      <c r="D270" t="inlineStr">
        <is>
          <t>Metropolitan</t>
        </is>
      </c>
      <c r="E270" s="5" t="n">
        <v>1349</v>
      </c>
      <c r="F270" s="4" t="n">
        <v>0.4818383988139362</v>
      </c>
      <c r="G270" s="4" t="n">
        <v>0.5965581044421324</v>
      </c>
      <c r="H270" s="3" t="n">
        <v>17137404.60950447</v>
      </c>
      <c r="I270" s="3" t="n">
        <v>896598.2252736874</v>
      </c>
      <c r="J270" s="4" t="n">
        <v>0.0523182037014187</v>
      </c>
      <c r="K270">
        <f>IF(AND(I270&gt;0,J270&gt;=Assumptions!$B$4),1,0)</f>
        <v/>
      </c>
      <c r="L270" s="3">
        <f>I270*K270</f>
        <v/>
      </c>
      <c r="M270">
        <f>SUM($K$2:K270)</f>
        <v/>
      </c>
    </row>
    <row r="271">
      <c r="A271" t="inlineStr">
        <is>
          <t>050248</t>
        </is>
      </c>
      <c r="B271" t="inlineStr">
        <is>
          <t>Natividad Medical Center</t>
        </is>
      </c>
      <c r="C271" t="inlineStr">
        <is>
          <t>CA</t>
        </is>
      </c>
      <c r="D271" t="inlineStr">
        <is>
          <t>Metropolitan</t>
        </is>
      </c>
      <c r="E271" s="5" t="n">
        <v>534</v>
      </c>
      <c r="F271" s="4" t="n">
        <v>0.398876404494382</v>
      </c>
      <c r="G271" s="4" t="n">
        <v>0.5818489434324795</v>
      </c>
      <c r="H271" s="3" t="n">
        <v>7653820.939461249</v>
      </c>
      <c r="I271" s="3" t="n">
        <v>894623.0252221925</v>
      </c>
      <c r="J271" s="4" t="n">
        <v>0.1168858054425774</v>
      </c>
      <c r="K271">
        <f>IF(AND(I271&gt;0,J271&gt;=Assumptions!$B$4),1,0)</f>
        <v/>
      </c>
      <c r="L271" s="3">
        <f>I271*K271</f>
        <v/>
      </c>
      <c r="M271">
        <f>SUM($K$2:K271)</f>
        <v/>
      </c>
    </row>
    <row r="272">
      <c r="A272" t="inlineStr">
        <is>
          <t>030036</t>
        </is>
      </c>
      <c r="B272" t="inlineStr">
        <is>
          <t>Chandler Regional Medical Center</t>
        </is>
      </c>
      <c r="C272" t="inlineStr">
        <is>
          <t>AZ</t>
        </is>
      </c>
      <c r="D272" t="inlineStr">
        <is>
          <t>Metropolitan</t>
        </is>
      </c>
      <c r="E272" s="5" t="n">
        <v>5090</v>
      </c>
      <c r="F272" s="4" t="n">
        <v>0.5027504911591356</v>
      </c>
      <c r="G272" s="4" t="n">
        <v>0.5159328966451922</v>
      </c>
      <c r="H272" s="3" t="n">
        <v>88810600.76163188</v>
      </c>
      <c r="I272" s="3" t="n">
        <v>886541.822700724</v>
      </c>
      <c r="J272" s="4" t="n">
        <v>0.009982387407559599</v>
      </c>
      <c r="K272">
        <f>IF(AND(I272&gt;0,J272&gt;=Assumptions!$B$4),1,0)</f>
        <v/>
      </c>
      <c r="L272" s="3">
        <f>I272*K272</f>
        <v/>
      </c>
      <c r="M272">
        <f>SUM($K$2:K272)</f>
        <v/>
      </c>
    </row>
    <row r="273">
      <c r="A273" t="inlineStr">
        <is>
          <t>150161</t>
        </is>
      </c>
      <c r="B273" t="inlineStr">
        <is>
          <t>Indiana University Health North Hospital</t>
        </is>
      </c>
      <c r="C273" t="inlineStr">
        <is>
          <t>IN</t>
        </is>
      </c>
      <c r="D273" t="inlineStr">
        <is>
          <t>Metropolitan</t>
        </is>
      </c>
      <c r="E273" s="5" t="n">
        <v>922</v>
      </c>
      <c r="F273" s="4" t="n">
        <v>0.5184381778741866</v>
      </c>
      <c r="G273" s="4" t="n">
        <v>0.5791263655698285</v>
      </c>
      <c r="H273" s="3" t="n">
        <v>13300155.96948957</v>
      </c>
      <c r="I273" s="3" t="n">
        <v>877895.4205945544</v>
      </c>
      <c r="J273" s="4" t="n">
        <v>0.06600640042180241</v>
      </c>
      <c r="K273">
        <f>IF(AND(I273&gt;0,J273&gt;=Assumptions!$B$4),1,0)</f>
        <v/>
      </c>
      <c r="L273" s="3">
        <f>I273*K273</f>
        <v/>
      </c>
      <c r="M273">
        <f>SUM($K$2:K273)</f>
        <v/>
      </c>
    </row>
    <row r="274">
      <c r="A274" t="inlineStr">
        <is>
          <t>470005</t>
        </is>
      </c>
      <c r="B274" t="inlineStr">
        <is>
          <t>Rutland Regional Medical Center</t>
        </is>
      </c>
      <c r="C274" t="inlineStr">
        <is>
          <t>VT</t>
        </is>
      </c>
      <c r="D274" t="inlineStr">
        <is>
          <t>Micropolitan</t>
        </is>
      </c>
      <c r="E274" s="5" t="n">
        <v>1240</v>
      </c>
      <c r="F274" s="4" t="n">
        <v>0.5153225806451613</v>
      </c>
      <c r="G274" s="4" t="n">
        <v>0.6078272512018843</v>
      </c>
      <c r="H274" s="3" t="n">
        <v>16503625.71809327</v>
      </c>
      <c r="I274" s="3" t="n">
        <v>869148.8309148885</v>
      </c>
      <c r="J274" s="4" t="n">
        <v>0.0526641142838099</v>
      </c>
      <c r="K274">
        <f>IF(AND(I274&gt;0,J274&gt;=Assumptions!$B$4),1,0)</f>
        <v/>
      </c>
      <c r="L274" s="3">
        <f>I274*K274</f>
        <v/>
      </c>
      <c r="M274">
        <f>SUM($K$2:K274)</f>
        <v/>
      </c>
    </row>
    <row r="275">
      <c r="A275" t="inlineStr">
        <is>
          <t>150035</t>
        </is>
      </c>
      <c r="B275" t="inlineStr">
        <is>
          <t>Northwest  Health- Porter</t>
        </is>
      </c>
      <c r="C275" t="inlineStr">
        <is>
          <t>IN</t>
        </is>
      </c>
      <c r="D275" t="inlineStr">
        <is>
          <t>Metropolitan</t>
        </is>
      </c>
      <c r="E275" s="5" t="n">
        <v>2512</v>
      </c>
      <c r="F275" s="4" t="n">
        <v>0.5298566878980892</v>
      </c>
      <c r="G275" s="4" t="n">
        <v>0.55204805666013</v>
      </c>
      <c r="H275" s="3" t="n">
        <v>39681516.16185072</v>
      </c>
      <c r="I275" s="3" t="n">
        <v>868308.8064364046</v>
      </c>
      <c r="J275" s="4" t="n">
        <v>0.0218819463171416</v>
      </c>
      <c r="K275">
        <f>IF(AND(I275&gt;0,J275&gt;=Assumptions!$B$4),1,0)</f>
        <v/>
      </c>
      <c r="L275" s="3">
        <f>I275*K275</f>
        <v/>
      </c>
      <c r="M275">
        <f>SUM($K$2:K275)</f>
        <v/>
      </c>
    </row>
    <row r="276">
      <c r="A276" t="inlineStr">
        <is>
          <t>230222</t>
        </is>
      </c>
      <c r="B276" t="inlineStr">
        <is>
          <t>Mymichigan Medical Center Midland</t>
        </is>
      </c>
      <c r="C276" t="inlineStr">
        <is>
          <t>MI</t>
        </is>
      </c>
      <c r="D276" t="inlineStr">
        <is>
          <t>Metropolitan</t>
        </is>
      </c>
      <c r="E276" s="5" t="n">
        <v>2144</v>
      </c>
      <c r="F276" s="4" t="n">
        <v>0.5111940298507462</v>
      </c>
      <c r="G276" s="4" t="n">
        <v>0.537072349170356</v>
      </c>
      <c r="H276" s="3" t="n">
        <v>41122423.55615228</v>
      </c>
      <c r="I276" s="3" t="n">
        <v>865229.7272678092</v>
      </c>
      <c r="J276" s="4" t="n">
        <v>0.0210403388819325</v>
      </c>
      <c r="K276">
        <f>IF(AND(I276&gt;0,J276&gt;=Assumptions!$B$4),1,0)</f>
        <v/>
      </c>
      <c r="L276" s="3">
        <f>I276*K276</f>
        <v/>
      </c>
      <c r="M276">
        <f>SUM($K$2:K276)</f>
        <v/>
      </c>
    </row>
    <row r="277">
      <c r="A277" t="inlineStr">
        <is>
          <t>370234</t>
        </is>
      </c>
      <c r="B277" t="inlineStr">
        <is>
          <t>Oklahoma Heart Hospital South, Llc</t>
        </is>
      </c>
      <c r="C277" t="inlineStr">
        <is>
          <t>OK</t>
        </is>
      </c>
      <c r="D277" t="inlineStr">
        <is>
          <t>Metropolitan</t>
        </is>
      </c>
      <c r="E277" s="5" t="n">
        <v>1296</v>
      </c>
      <c r="F277" s="4" t="n">
        <v>0.3942901234567901</v>
      </c>
      <c r="G277" s="4" t="n">
        <v>0.4300648177522236</v>
      </c>
      <c r="H277" s="3" t="n">
        <v>29212263.34327912</v>
      </c>
      <c r="I277" s="3" t="n">
        <v>864164.5017248131</v>
      </c>
      <c r="J277" s="4" t="n">
        <v>0.0295822508365696</v>
      </c>
      <c r="K277">
        <f>IF(AND(I277&gt;0,J277&gt;=Assumptions!$B$4),1,0)</f>
        <v/>
      </c>
      <c r="L277" s="3">
        <f>I277*K277</f>
        <v/>
      </c>
      <c r="M277">
        <f>SUM($K$2:K277)</f>
        <v/>
      </c>
    </row>
    <row r="278">
      <c r="A278" t="inlineStr">
        <is>
          <t>220008</t>
        </is>
      </c>
      <c r="B278" t="inlineStr">
        <is>
          <t>Sturdy Memorial Hospital</t>
        </is>
      </c>
      <c r="C278" t="inlineStr">
        <is>
          <t>MA</t>
        </is>
      </c>
      <c r="D278" t="inlineStr">
        <is>
          <t>Metropolitan</t>
        </is>
      </c>
      <c r="E278" s="5" t="n">
        <v>2067</v>
      </c>
      <c r="F278" s="4" t="n">
        <v>0.5244315432994678</v>
      </c>
      <c r="G278" s="4" t="n">
        <v>0.600701907265747</v>
      </c>
      <c r="H278" s="3" t="n">
        <v>25465278.76149532</v>
      </c>
      <c r="I278" s="3" t="n">
        <v>852493.9145939872</v>
      </c>
      <c r="J278" s="4" t="n">
        <v>0.0334767163783416</v>
      </c>
      <c r="K278">
        <f>IF(AND(I278&gt;0,J278&gt;=Assumptions!$B$4),1,0)</f>
        <v/>
      </c>
      <c r="L278" s="3">
        <f>I278*K278</f>
        <v/>
      </c>
      <c r="M278">
        <f>SUM($K$2:K278)</f>
        <v/>
      </c>
    </row>
    <row r="279">
      <c r="A279" t="inlineStr">
        <is>
          <t>340053</t>
        </is>
      </c>
      <c r="B279" t="inlineStr">
        <is>
          <t>Novant Health Presbyterian Medical Center</t>
        </is>
      </c>
      <c r="C279" t="inlineStr">
        <is>
          <t>NC</t>
        </is>
      </c>
      <c r="D279" t="inlineStr">
        <is>
          <t>Metropolitan</t>
        </is>
      </c>
      <c r="E279" s="5" t="n">
        <v>2512</v>
      </c>
      <c r="F279" s="4" t="n">
        <v>0.4323248407643312</v>
      </c>
      <c r="G279" s="4" t="n">
        <v>0.4489590551929739</v>
      </c>
      <c r="H279" s="3" t="n">
        <v>54027217.37633811</v>
      </c>
      <c r="I279" s="3" t="n">
        <v>832779.2404245436</v>
      </c>
      <c r="J279" s="4" t="n">
        <v>0.0154140687021439</v>
      </c>
      <c r="K279">
        <f>IF(AND(I279&gt;0,J279&gt;=Assumptions!$B$4),1,0)</f>
        <v/>
      </c>
      <c r="L279" s="3">
        <f>I279*K279</f>
        <v/>
      </c>
      <c r="M279">
        <f>SUM($K$2:K279)</f>
        <v/>
      </c>
    </row>
    <row r="280">
      <c r="A280" t="inlineStr">
        <is>
          <t>440173</t>
        </is>
      </c>
      <c r="B280" t="inlineStr">
        <is>
          <t>Parkwest Medical Center</t>
        </is>
      </c>
      <c r="C280" t="inlineStr">
        <is>
          <t>TN</t>
        </is>
      </c>
      <c r="D280" t="inlineStr">
        <is>
          <t>Metropolitan</t>
        </is>
      </c>
      <c r="E280" s="5" t="n">
        <v>3159</v>
      </c>
      <c r="F280" s="4" t="n">
        <v>0.5128205128205128</v>
      </c>
      <c r="G280" s="4" t="n">
        <v>0.5124562775656846</v>
      </c>
      <c r="H280" s="3" t="n">
        <v>64977590.35184158</v>
      </c>
      <c r="I280" s="3" t="n">
        <v>830840.3403746188</v>
      </c>
      <c r="J280" s="4" t="n">
        <v>0.0127865674284899</v>
      </c>
      <c r="K280">
        <f>IF(AND(I280&gt;0,J280&gt;=Assumptions!$B$4),1,0)</f>
        <v/>
      </c>
      <c r="L280" s="3">
        <f>I280*K280</f>
        <v/>
      </c>
      <c r="M280">
        <f>SUM($K$2:K280)</f>
        <v/>
      </c>
    </row>
    <row r="281">
      <c r="A281" t="inlineStr">
        <is>
          <t>440184</t>
        </is>
      </c>
      <c r="B281" t="inlineStr">
        <is>
          <t>Franklin Woods Community Hospital</t>
        </is>
      </c>
      <c r="C281" t="inlineStr">
        <is>
          <t>TN</t>
        </is>
      </c>
      <c r="D281" t="inlineStr">
        <is>
          <t>Metropolitan</t>
        </is>
      </c>
      <c r="E281" s="5" t="n">
        <v>586</v>
      </c>
      <c r="F281" s="4" t="n">
        <v>0.4641638225255973</v>
      </c>
      <c r="G281" s="4" t="n">
        <v>0.5944037326904058</v>
      </c>
      <c r="H281" s="3" t="n">
        <v>8955480.83809045</v>
      </c>
      <c r="I281" s="3" t="n">
        <v>828796.3301912183</v>
      </c>
      <c r="J281" s="4" t="n">
        <v>0.092546268053647</v>
      </c>
      <c r="K281">
        <f>IF(AND(I281&gt;0,J281&gt;=Assumptions!$B$4),1,0)</f>
        <v/>
      </c>
      <c r="L281" s="3">
        <f>I281*K281</f>
        <v/>
      </c>
      <c r="M281">
        <f>SUM($K$2:K281)</f>
        <v/>
      </c>
    </row>
    <row r="282">
      <c r="A282" t="inlineStr">
        <is>
          <t>150018</t>
        </is>
      </c>
      <c r="B282" t="inlineStr">
        <is>
          <t>Elkhart General Hospital</t>
        </is>
      </c>
      <c r="C282" t="inlineStr">
        <is>
          <t>IN</t>
        </is>
      </c>
      <c r="D282" t="inlineStr">
        <is>
          <t>Metropolitan</t>
        </is>
      </c>
      <c r="E282" s="5" t="n">
        <v>1475</v>
      </c>
      <c r="F282" s="4" t="n">
        <v>0.4793220338983051</v>
      </c>
      <c r="G282" s="4" t="n">
        <v>0.5559643027904678</v>
      </c>
      <c r="H282" s="3" t="n">
        <v>22654901.97992401</v>
      </c>
      <c r="I282" s="3" t="n">
        <v>828337.9645028412</v>
      </c>
      <c r="J282" s="4" t="n">
        <v>0.0365632994235369</v>
      </c>
      <c r="K282">
        <f>IF(AND(I282&gt;0,J282&gt;=Assumptions!$B$4),1,0)</f>
        <v/>
      </c>
      <c r="L282" s="3">
        <f>I282*K282</f>
        <v/>
      </c>
      <c r="M282">
        <f>SUM($K$2:K282)</f>
        <v/>
      </c>
    </row>
    <row r="283">
      <c r="A283" t="inlineStr">
        <is>
          <t>170185</t>
        </is>
      </c>
      <c r="B283" t="inlineStr">
        <is>
          <t>Saint Luke's South Hospital</t>
        </is>
      </c>
      <c r="C283" t="inlineStr">
        <is>
          <t>KS</t>
        </is>
      </c>
      <c r="D283" t="inlineStr">
        <is>
          <t>Metropolitan</t>
        </is>
      </c>
      <c r="E283" s="5" t="n">
        <v>1356</v>
      </c>
      <c r="F283" s="4" t="n">
        <v>0.4889380530973451</v>
      </c>
      <c r="G283" s="4" t="n">
        <v>0.5879447692089683</v>
      </c>
      <c r="H283" s="3" t="n">
        <v>16993484.60057805</v>
      </c>
      <c r="I283" s="3" t="n">
        <v>819623.6739605218</v>
      </c>
      <c r="J283" s="4" t="n">
        <v>0.048231642492714</v>
      </c>
      <c r="K283">
        <f>IF(AND(I283&gt;0,J283&gt;=Assumptions!$B$4),1,0)</f>
        <v/>
      </c>
      <c r="L283" s="3">
        <f>I283*K283</f>
        <v/>
      </c>
      <c r="M283">
        <f>SUM($K$2:K283)</f>
        <v/>
      </c>
    </row>
    <row r="284">
      <c r="A284" t="inlineStr">
        <is>
          <t>490048</t>
        </is>
      </c>
      <c r="B284" t="inlineStr">
        <is>
          <t>Lewisgale Medical Center</t>
        </is>
      </c>
      <c r="C284" t="inlineStr">
        <is>
          <t>VA</t>
        </is>
      </c>
      <c r="D284" t="inlineStr">
        <is>
          <t>Metropolitan</t>
        </is>
      </c>
      <c r="E284" s="5" t="n">
        <v>3245</v>
      </c>
      <c r="F284" s="4" t="n">
        <v>0.5605546995377504</v>
      </c>
      <c r="G284" s="4" t="n">
        <v>0.5581877177213777</v>
      </c>
      <c r="H284" s="3" t="n">
        <v>50386424.8321481</v>
      </c>
      <c r="I284" s="3" t="n">
        <v>812142.9371366352</v>
      </c>
      <c r="J284" s="4" t="n">
        <v>0.0161182886033712</v>
      </c>
      <c r="K284">
        <f>IF(AND(I284&gt;0,J284&gt;=Assumptions!$B$4),1,0)</f>
        <v/>
      </c>
      <c r="L284" s="3">
        <f>I284*K284</f>
        <v/>
      </c>
      <c r="M284">
        <f>SUM($K$2:K284)</f>
        <v/>
      </c>
    </row>
    <row r="285">
      <c r="A285" t="inlineStr">
        <is>
          <t>170182</t>
        </is>
      </c>
      <c r="B285" t="inlineStr">
        <is>
          <t>Menorah Medical Center</t>
        </is>
      </c>
      <c r="C285" t="inlineStr">
        <is>
          <t>KS</t>
        </is>
      </c>
      <c r="D285" t="inlineStr">
        <is>
          <t>Metropolitan</t>
        </is>
      </c>
      <c r="E285" s="5" t="n">
        <v>1527</v>
      </c>
      <c r="F285" s="4" t="n">
        <v>0.4001309757694826</v>
      </c>
      <c r="G285" s="4" t="n">
        <v>0.4699378430240167</v>
      </c>
      <c r="H285" s="3" t="n">
        <v>25701178.38323675</v>
      </c>
      <c r="I285" s="3" t="n">
        <v>808126.3554406352</v>
      </c>
      <c r="J285" s="4" t="n">
        <v>0.0314431635542331</v>
      </c>
      <c r="K285">
        <f>IF(AND(I285&gt;0,J285&gt;=Assumptions!$B$4),1,0)</f>
        <v/>
      </c>
      <c r="L285" s="3">
        <f>I285*K285</f>
        <v/>
      </c>
      <c r="M285">
        <f>SUM($K$2:K285)</f>
        <v/>
      </c>
    </row>
    <row r="286">
      <c r="A286" t="inlineStr">
        <is>
          <t>100284</t>
        </is>
      </c>
      <c r="B286" t="inlineStr">
        <is>
          <t>Keralty Hospital</t>
        </is>
      </c>
      <c r="C286" t="inlineStr">
        <is>
          <t>FL</t>
        </is>
      </c>
      <c r="D286" t="inlineStr">
        <is>
          <t>Metropolitan</t>
        </is>
      </c>
      <c r="E286" s="5" t="n">
        <v>625</v>
      </c>
      <c r="F286" s="4" t="n">
        <v>0.4288</v>
      </c>
      <c r="G286" s="4" t="n">
        <v>0.6690933421398838</v>
      </c>
      <c r="H286" s="3" t="n">
        <v>7922091.206391621</v>
      </c>
      <c r="I286" s="3" t="n">
        <v>803543.8324163426</v>
      </c>
      <c r="J286" s="4" t="n">
        <v>0.1014307726939618</v>
      </c>
      <c r="K286">
        <f>IF(AND(I286&gt;0,J286&gt;=Assumptions!$B$4),1,0)</f>
        <v/>
      </c>
      <c r="L286" s="3">
        <f>I286*K286</f>
        <v/>
      </c>
      <c r="M286">
        <f>SUM($K$2:K286)</f>
        <v/>
      </c>
    </row>
    <row r="287">
      <c r="A287" t="inlineStr">
        <is>
          <t>460047</t>
        </is>
      </c>
      <c r="B287" t="inlineStr">
        <is>
          <t>St Mark's Hospital</t>
        </is>
      </c>
      <c r="C287" t="inlineStr">
        <is>
          <t>UT</t>
        </is>
      </c>
      <c r="D287" t="inlineStr">
        <is>
          <t>Metropolitan</t>
        </is>
      </c>
      <c r="E287" s="5" t="n">
        <v>1427</v>
      </c>
      <c r="F287" s="4" t="n">
        <v>0.5290819901892081</v>
      </c>
      <c r="G287" s="4" t="n">
        <v>0.5352028177749476</v>
      </c>
      <c r="H287" s="3" t="n">
        <v>29812928.15783276</v>
      </c>
      <c r="I287" s="3" t="n">
        <v>798047.4257861115</v>
      </c>
      <c r="J287" s="4" t="n">
        <v>0.0267685019586524</v>
      </c>
      <c r="K287">
        <f>IF(AND(I287&gt;0,J287&gt;=Assumptions!$B$4),1,0)</f>
        <v/>
      </c>
      <c r="L287" s="3">
        <f>I287*K287</f>
        <v/>
      </c>
      <c r="M287">
        <f>SUM($K$2:K287)</f>
        <v/>
      </c>
    </row>
    <row r="288">
      <c r="A288" t="inlineStr">
        <is>
          <t>220135</t>
        </is>
      </c>
      <c r="B288" t="inlineStr">
        <is>
          <t>Falmouth Hospital</t>
        </is>
      </c>
      <c r="C288" t="inlineStr">
        <is>
          <t>MA</t>
        </is>
      </c>
      <c r="D288" t="inlineStr">
        <is>
          <t>Metropolitan</t>
        </is>
      </c>
      <c r="E288" s="5" t="n">
        <v>2170</v>
      </c>
      <c r="F288" s="4" t="n">
        <v>0.6225806451612903</v>
      </c>
      <c r="G288" s="4" t="n">
        <v>0.6485145685785595</v>
      </c>
      <c r="H288" s="3" t="n">
        <v>29695441.04818299</v>
      </c>
      <c r="I288" s="3" t="n">
        <v>796305.94932127</v>
      </c>
      <c r="J288" s="4" t="n">
        <v>0.026815764346763</v>
      </c>
      <c r="K288">
        <f>IF(AND(I288&gt;0,J288&gt;=Assumptions!$B$4),1,0)</f>
        <v/>
      </c>
      <c r="L288" s="3">
        <f>I288*K288</f>
        <v/>
      </c>
      <c r="M288">
        <f>SUM($K$2:K288)</f>
        <v/>
      </c>
    </row>
    <row r="289">
      <c r="A289" t="inlineStr">
        <is>
          <t>420098</t>
        </is>
      </c>
      <c r="B289" t="inlineStr">
        <is>
          <t>Tidelands Waccamaw Community Hospital</t>
        </is>
      </c>
      <c r="C289" t="inlineStr">
        <is>
          <t>SC</t>
        </is>
      </c>
      <c r="D289" t="inlineStr">
        <is>
          <t>Metropolitan</t>
        </is>
      </c>
      <c r="E289" s="5" t="n">
        <v>1754</v>
      </c>
      <c r="F289" s="4" t="n">
        <v>0.5045610034207526</v>
      </c>
      <c r="G289" s="4" t="n">
        <v>0.5471185910242847</v>
      </c>
      <c r="H289" s="3" t="n">
        <v>24860814.79916349</v>
      </c>
      <c r="I289" s="3" t="n">
        <v>794441.4702180922</v>
      </c>
      <c r="J289" s="4" t="n">
        <v>0.0319555684974904</v>
      </c>
      <c r="K289">
        <f>IF(AND(I289&gt;0,J289&gt;=Assumptions!$B$4),1,0)</f>
        <v/>
      </c>
      <c r="L289" s="3">
        <f>I289*K289</f>
        <v/>
      </c>
      <c r="M289">
        <f>SUM($K$2:K289)</f>
        <v/>
      </c>
    </row>
    <row r="290">
      <c r="A290" t="inlineStr">
        <is>
          <t>220063</t>
        </is>
      </c>
      <c r="B290" t="inlineStr">
        <is>
          <t>Lowell General Hospital</t>
        </is>
      </c>
      <c r="C290" t="inlineStr">
        <is>
          <t>MA</t>
        </is>
      </c>
      <c r="D290" t="inlineStr">
        <is>
          <t>Metropolitan</t>
        </is>
      </c>
      <c r="E290" s="5" t="n">
        <v>3928</v>
      </c>
      <c r="F290" s="4" t="n">
        <v>0.5674643584521385</v>
      </c>
      <c r="G290" s="4" t="n">
        <v>0.5904185769973945</v>
      </c>
      <c r="H290" s="3" t="n">
        <v>53681147.5549034</v>
      </c>
      <c r="I290" s="3" t="n">
        <v>789875.3769558668</v>
      </c>
      <c r="J290" s="4" t="n">
        <v>0.0147142043889431</v>
      </c>
      <c r="K290">
        <f>IF(AND(I290&gt;0,J290&gt;=Assumptions!$B$4),1,0)</f>
        <v/>
      </c>
      <c r="L290" s="3">
        <f>I290*K290</f>
        <v/>
      </c>
      <c r="M290">
        <f>SUM($K$2:K290)</f>
        <v/>
      </c>
    </row>
    <row r="291">
      <c r="A291" t="inlineStr">
        <is>
          <t>100289</t>
        </is>
      </c>
      <c r="B291" t="inlineStr">
        <is>
          <t>Cleveland Clinic Hospital</t>
        </is>
      </c>
      <c r="C291" t="inlineStr">
        <is>
          <t>FL</t>
        </is>
      </c>
      <c r="D291" t="inlineStr">
        <is>
          <t>Metropolitan</t>
        </is>
      </c>
      <c r="E291" s="5" t="n">
        <v>2437</v>
      </c>
      <c r="F291" s="4" t="n">
        <v>0.5067706196142798</v>
      </c>
      <c r="G291" s="4" t="n">
        <v>0.5597035769092306</v>
      </c>
      <c r="H291" s="3" t="n">
        <v>44868387.2038673</v>
      </c>
      <c r="I291" s="3" t="n">
        <v>787431.1421053633</v>
      </c>
      <c r="J291" s="4" t="n">
        <v>0.0175497982249179</v>
      </c>
      <c r="K291">
        <f>IF(AND(I291&gt;0,J291&gt;=Assumptions!$B$4),1,0)</f>
        <v/>
      </c>
      <c r="L291" s="3">
        <f>I291*K291</f>
        <v/>
      </c>
      <c r="M291">
        <f>SUM($K$2:K291)</f>
        <v/>
      </c>
    </row>
    <row r="292">
      <c r="A292" t="inlineStr">
        <is>
          <t>420104</t>
        </is>
      </c>
      <c r="B292" t="inlineStr">
        <is>
          <t>Mount Pleasant Hospital</t>
        </is>
      </c>
      <c r="C292" t="inlineStr">
        <is>
          <t>SC</t>
        </is>
      </c>
      <c r="D292" t="inlineStr">
        <is>
          <t>Metropolitan</t>
        </is>
      </c>
      <c r="E292" s="5" t="n">
        <v>624</v>
      </c>
      <c r="F292" s="4" t="n">
        <v>0.4823717948717949</v>
      </c>
      <c r="G292" s="4" t="n">
        <v>0.6150338435892131</v>
      </c>
      <c r="H292" s="3" t="n">
        <v>8705855.846084449</v>
      </c>
      <c r="I292" s="3" t="n">
        <v>786140.8868692722</v>
      </c>
      <c r="J292" s="4" t="n">
        <v>0.09030024167271811</v>
      </c>
      <c r="K292">
        <f>IF(AND(I292&gt;0,J292&gt;=Assumptions!$B$4),1,0)</f>
        <v/>
      </c>
      <c r="L292" s="3">
        <f>I292*K292</f>
        <v/>
      </c>
      <c r="M292">
        <f>SUM($K$2:K292)</f>
        <v/>
      </c>
    </row>
    <row r="293">
      <c r="A293" t="inlineStr">
        <is>
          <t>240038</t>
        </is>
      </c>
      <c r="B293" t="inlineStr">
        <is>
          <t>United Hospital</t>
        </is>
      </c>
      <c r="C293" t="inlineStr">
        <is>
          <t>MN</t>
        </is>
      </c>
      <c r="D293" t="inlineStr">
        <is>
          <t>Metropolitan</t>
        </is>
      </c>
      <c r="E293" s="5" t="n">
        <v>3167</v>
      </c>
      <c r="F293" s="4" t="n">
        <v>0.5033154404799495</v>
      </c>
      <c r="G293" s="4" t="n">
        <v>0.5544655269182882</v>
      </c>
      <c r="H293" s="3" t="n">
        <v>58330215.15186013</v>
      </c>
      <c r="I293" s="3" t="n">
        <v>782943.3026296422</v>
      </c>
      <c r="J293" s="4" t="n">
        <v>0.0134226026869827</v>
      </c>
      <c r="K293">
        <f>IF(AND(I293&gt;0,J293&gt;=Assumptions!$B$4),1,0)</f>
        <v/>
      </c>
      <c r="L293" s="3">
        <f>I293*K293</f>
        <v/>
      </c>
      <c r="M293">
        <f>SUM($K$2:K293)</f>
        <v/>
      </c>
    </row>
    <row r="294">
      <c r="A294" t="inlineStr">
        <is>
          <t>440073</t>
        </is>
      </c>
      <c r="B294" t="inlineStr">
        <is>
          <t>Maury Regional Hospital</t>
        </is>
      </c>
      <c r="C294" t="inlineStr">
        <is>
          <t>TN</t>
        </is>
      </c>
      <c r="D294" t="inlineStr">
        <is>
          <t>Micropolitan</t>
        </is>
      </c>
      <c r="E294" s="5" t="n">
        <v>2004</v>
      </c>
      <c r="F294" s="4" t="n">
        <v>0.5548902195608783</v>
      </c>
      <c r="G294" s="4" t="n">
        <v>0.6002032636615764</v>
      </c>
      <c r="H294" s="3" t="n">
        <v>29948233.55539789</v>
      </c>
      <c r="I294" s="3" t="n">
        <v>782461.2350718901</v>
      </c>
      <c r="J294" s="4" t="n">
        <v>0.0261271247809825</v>
      </c>
      <c r="K294">
        <f>IF(AND(I294&gt;0,J294&gt;=Assumptions!$B$4),1,0)</f>
        <v/>
      </c>
      <c r="L294" s="3">
        <f>I294*K294</f>
        <v/>
      </c>
      <c r="M294">
        <f>SUM($K$2:K294)</f>
        <v/>
      </c>
    </row>
    <row r="295">
      <c r="A295" t="inlineStr">
        <is>
          <t>160110</t>
        </is>
      </c>
      <c r="B295" t="inlineStr">
        <is>
          <t>Allen Hospital</t>
        </is>
      </c>
      <c r="C295" t="inlineStr">
        <is>
          <t>IA</t>
        </is>
      </c>
      <c r="D295" t="inlineStr">
        <is>
          <t>Metropolitan</t>
        </is>
      </c>
      <c r="E295" s="5" t="n">
        <v>1377</v>
      </c>
      <c r="F295" s="4" t="n">
        <v>0.5628177196804648</v>
      </c>
      <c r="G295" s="4" t="n">
        <v>0.598022789756013</v>
      </c>
      <c r="H295" s="3" t="n">
        <v>23389992.23244784</v>
      </c>
      <c r="I295" s="3" t="n">
        <v>780421.6366626248</v>
      </c>
      <c r="J295" s="4" t="n">
        <v>0.0333656218825067</v>
      </c>
      <c r="K295">
        <f>IF(AND(I295&gt;0,J295&gt;=Assumptions!$B$4),1,0)</f>
        <v/>
      </c>
      <c r="L295" s="3">
        <f>I295*K295</f>
        <v/>
      </c>
      <c r="M295">
        <f>SUM($K$2:K295)</f>
        <v/>
      </c>
    </row>
    <row r="296">
      <c r="A296" t="inlineStr">
        <is>
          <t>240115</t>
        </is>
      </c>
      <c r="B296" t="inlineStr">
        <is>
          <t>Mercy Hospital</t>
        </is>
      </c>
      <c r="C296" t="inlineStr">
        <is>
          <t>MN</t>
        </is>
      </c>
      <c r="D296" t="inlineStr">
        <is>
          <t>Metropolitan</t>
        </is>
      </c>
      <c r="E296" s="5" t="n">
        <v>3614</v>
      </c>
      <c r="F296" s="4" t="n">
        <v>0.5464858882125069</v>
      </c>
      <c r="G296" s="4" t="n">
        <v>0.5659791673874827</v>
      </c>
      <c r="H296" s="3" t="n">
        <v>58200203.25223029</v>
      </c>
      <c r="I296" s="3" t="n">
        <v>776351.4167411253</v>
      </c>
      <c r="J296" s="4" t="n">
        <v>0.0133393248366598</v>
      </c>
      <c r="K296">
        <f>IF(AND(I296&gt;0,J296&gt;=Assumptions!$B$4),1,0)</f>
        <v/>
      </c>
      <c r="L296" s="3">
        <f>I296*K296</f>
        <v/>
      </c>
      <c r="M296">
        <f>SUM($K$2:K296)</f>
        <v/>
      </c>
    </row>
    <row r="297">
      <c r="A297" t="inlineStr">
        <is>
          <t>040029</t>
        </is>
      </c>
      <c r="B297" t="inlineStr">
        <is>
          <t>Conway Regional Medical Center, Inc</t>
        </is>
      </c>
      <c r="C297" t="inlineStr">
        <is>
          <t>AR</t>
        </is>
      </c>
      <c r="D297" t="inlineStr">
        <is>
          <t>Metropolitan</t>
        </is>
      </c>
      <c r="E297" s="5" t="n">
        <v>1533</v>
      </c>
      <c r="F297" s="4" t="n">
        <v>0.5505544683626875</v>
      </c>
      <c r="G297" s="4" t="n">
        <v>0.5986293025554599</v>
      </c>
      <c r="H297" s="3" t="n">
        <v>22324827.277529</v>
      </c>
      <c r="I297" s="3" t="n">
        <v>769500.676452741</v>
      </c>
      <c r="J297" s="4" t="n">
        <v>0.0344683820791429</v>
      </c>
      <c r="K297">
        <f>IF(AND(I297&gt;0,J297&gt;=Assumptions!$B$4),1,0)</f>
        <v/>
      </c>
      <c r="L297" s="3">
        <f>I297*K297</f>
        <v/>
      </c>
      <c r="M297">
        <f>SUM($K$2:K297)</f>
        <v/>
      </c>
    </row>
    <row r="298">
      <c r="A298" t="inlineStr">
        <is>
          <t>440063</t>
        </is>
      </c>
      <c r="B298" t="inlineStr">
        <is>
          <t>Johnson City Medical Center</t>
        </is>
      </c>
      <c r="C298" t="inlineStr">
        <is>
          <t>TN</t>
        </is>
      </c>
      <c r="D298" t="inlineStr">
        <is>
          <t>Metropolitan</t>
        </is>
      </c>
      <c r="E298" s="5" t="n">
        <v>3099</v>
      </c>
      <c r="F298" s="4" t="n">
        <v>0.4904808002581478</v>
      </c>
      <c r="G298" s="4" t="n">
        <v>0.5106497046702304</v>
      </c>
      <c r="H298" s="3" t="n">
        <v>49305440.83297122</v>
      </c>
      <c r="I298" s="3" t="n">
        <v>769487.3555639759</v>
      </c>
      <c r="J298" s="4" t="n">
        <v>0.0156065404256442</v>
      </c>
      <c r="K298">
        <f>IF(AND(I298&gt;0,J298&gt;=Assumptions!$B$4),1,0)</f>
        <v/>
      </c>
      <c r="L298" s="3">
        <f>I298*K298</f>
        <v/>
      </c>
      <c r="M298">
        <f>SUM($K$2:K298)</f>
        <v/>
      </c>
    </row>
    <row r="299">
      <c r="A299" t="inlineStr">
        <is>
          <t>250138</t>
        </is>
      </c>
      <c r="B299" t="inlineStr">
        <is>
          <t>Merit Health River Oaks</t>
        </is>
      </c>
      <c r="C299" t="inlineStr">
        <is>
          <t>MS</t>
        </is>
      </c>
      <c r="D299" t="inlineStr">
        <is>
          <t>Metropolitan</t>
        </is>
      </c>
      <c r="E299" s="5" t="n">
        <v>483</v>
      </c>
      <c r="F299" s="4" t="n">
        <v>0.3561076604554865</v>
      </c>
      <c r="G299" s="4" t="n">
        <v>0.4202660651914841</v>
      </c>
      <c r="H299" s="3" t="n">
        <v>10433134.79733614</v>
      </c>
      <c r="I299" s="3" t="n">
        <v>768746.2933493964</v>
      </c>
      <c r="J299" s="4" t="n">
        <v>0.0736831554736241</v>
      </c>
      <c r="K299">
        <f>IF(AND(I299&gt;0,J299&gt;=Assumptions!$B$4),1,0)</f>
        <v/>
      </c>
      <c r="L299" s="3">
        <f>I299*K299</f>
        <v/>
      </c>
      <c r="M299">
        <f>SUM($K$2:K299)</f>
        <v/>
      </c>
    </row>
    <row r="300">
      <c r="A300" t="inlineStr">
        <is>
          <t>340091</t>
        </is>
      </c>
      <c r="B300" t="inlineStr">
        <is>
          <t>Cone Health</t>
        </is>
      </c>
      <c r="C300" t="inlineStr">
        <is>
          <t>NC</t>
        </is>
      </c>
      <c r="D300" t="inlineStr">
        <is>
          <t>Metropolitan</t>
        </is>
      </c>
      <c r="E300" s="5" t="n">
        <v>4624</v>
      </c>
      <c r="F300" s="4" t="n">
        <v>0.5694204152249135</v>
      </c>
      <c r="G300" s="4" t="n">
        <v>0.5664897543204734</v>
      </c>
      <c r="H300" s="3" t="n">
        <v>75839362.41900957</v>
      </c>
      <c r="I300" s="3" t="n">
        <v>767143.5095757693</v>
      </c>
      <c r="J300" s="4" t="n">
        <v>0.0101153739312486</v>
      </c>
      <c r="K300">
        <f>IF(AND(I300&gt;0,J300&gt;=Assumptions!$B$4),1,0)</f>
        <v/>
      </c>
      <c r="L300" s="3">
        <f>I300*K300</f>
        <v/>
      </c>
      <c r="M300">
        <f>SUM($K$2:K300)</f>
        <v/>
      </c>
    </row>
    <row r="301">
      <c r="A301" t="inlineStr">
        <is>
          <t>310038</t>
        </is>
      </c>
      <c r="B301" t="inlineStr">
        <is>
          <t>Robert Wood Johnson University Hospital</t>
        </is>
      </c>
      <c r="C301" t="inlineStr">
        <is>
          <t>NJ</t>
        </is>
      </c>
      <c r="D301" t="inlineStr">
        <is>
          <t>Metropolitan</t>
        </is>
      </c>
      <c r="E301" s="5" t="n">
        <v>5417</v>
      </c>
      <c r="F301" s="4" t="n">
        <v>0.524090825179989</v>
      </c>
      <c r="G301" s="4" t="n">
        <v>0.5457593684537783</v>
      </c>
      <c r="H301" s="3" t="n">
        <v>104800531.4011447</v>
      </c>
      <c r="I301" s="3" t="n">
        <v>766826.966727823</v>
      </c>
      <c r="J301" s="4" t="n">
        <v>0.007317014107425</v>
      </c>
      <c r="K301">
        <f>IF(AND(I301&gt;0,J301&gt;=Assumptions!$B$4),1,0)</f>
        <v/>
      </c>
      <c r="L301" s="3">
        <f>I301*K301</f>
        <v/>
      </c>
      <c r="M301">
        <f>SUM($K$2:K301)</f>
        <v/>
      </c>
    </row>
    <row r="302">
      <c r="A302" t="inlineStr">
        <is>
          <t>490107</t>
        </is>
      </c>
      <c r="B302" t="inlineStr">
        <is>
          <t>Reston Hospital Center</t>
        </is>
      </c>
      <c r="C302" t="inlineStr">
        <is>
          <t>VA</t>
        </is>
      </c>
      <c r="D302" t="inlineStr">
        <is>
          <t>Metropolitan</t>
        </is>
      </c>
      <c r="E302" s="5" t="n">
        <v>1845</v>
      </c>
      <c r="F302" s="4" t="n">
        <v>0.473170731707317</v>
      </c>
      <c r="G302" s="4" t="n">
        <v>0.4862334968154588</v>
      </c>
      <c r="H302" s="3" t="n">
        <v>34359883.75510601</v>
      </c>
      <c r="I302" s="3" t="n">
        <v>765908.5934778899</v>
      </c>
      <c r="J302" s="4" t="n">
        <v>0.0222907795304771</v>
      </c>
      <c r="K302">
        <f>IF(AND(I302&gt;0,J302&gt;=Assumptions!$B$4),1,0)</f>
        <v/>
      </c>
      <c r="L302" s="3">
        <f>I302*K302</f>
        <v/>
      </c>
      <c r="M302">
        <f>SUM($K$2:K302)</f>
        <v/>
      </c>
    </row>
    <row r="303">
      <c r="A303" t="inlineStr">
        <is>
          <t>040161</t>
        </is>
      </c>
      <c r="B303" t="inlineStr">
        <is>
          <t>Arkansas Heart Hospital-Encore</t>
        </is>
      </c>
      <c r="C303" t="inlineStr">
        <is>
          <t>AR</t>
        </is>
      </c>
      <c r="D303" t="inlineStr">
        <is>
          <t>Metropolitan</t>
        </is>
      </c>
      <c r="E303" s="5" t="n">
        <v>416</v>
      </c>
      <c r="F303" s="4" t="n">
        <v>0.3100961538461538</v>
      </c>
      <c r="G303" s="4" t="n">
        <v>0.3817757449709733</v>
      </c>
      <c r="H303" s="3" t="n">
        <v>7642266.167218561</v>
      </c>
      <c r="I303" s="3" t="n">
        <v>763703.7462788094</v>
      </c>
      <c r="J303" s="4" t="n">
        <v>0.0999315817544683</v>
      </c>
      <c r="K303">
        <f>IF(AND(I303&gt;0,J303&gt;=Assumptions!$B$4),1,0)</f>
        <v/>
      </c>
      <c r="L303" s="3">
        <f>I303*K303</f>
        <v/>
      </c>
      <c r="M303">
        <f>SUM($K$2:K303)</f>
        <v/>
      </c>
    </row>
    <row r="304">
      <c r="A304" t="inlineStr">
        <is>
          <t>490136</t>
        </is>
      </c>
      <c r="B304" t="inlineStr">
        <is>
          <t>Bon Secours St Francis Medical Center</t>
        </is>
      </c>
      <c r="C304" t="inlineStr">
        <is>
          <t>VA</t>
        </is>
      </c>
      <c r="D304" t="inlineStr">
        <is>
          <t>Metropolitan</t>
        </is>
      </c>
      <c r="E304" s="5" t="n">
        <v>2052</v>
      </c>
      <c r="F304" s="4" t="n">
        <v>0.5165692007797271</v>
      </c>
      <c r="G304" s="4" t="n">
        <v>0.586162270499571</v>
      </c>
      <c r="H304" s="3" t="n">
        <v>28387923.09834529</v>
      </c>
      <c r="I304" s="3" t="n">
        <v>763115.8752965145</v>
      </c>
      <c r="J304" s="4" t="n">
        <v>0.0268817085579957</v>
      </c>
      <c r="K304">
        <f>IF(AND(I304&gt;0,J304&gt;=Assumptions!$B$4),1,0)</f>
        <v/>
      </c>
      <c r="L304" s="3">
        <f>I304*K304</f>
        <v/>
      </c>
      <c r="M304">
        <f>SUM($K$2:K304)</f>
        <v/>
      </c>
    </row>
    <row r="305">
      <c r="A305" t="inlineStr">
        <is>
          <t>390042</t>
        </is>
      </c>
      <c r="B305" t="inlineStr">
        <is>
          <t>Washington Hospital, The</t>
        </is>
      </c>
      <c r="C305" t="inlineStr">
        <is>
          <t>PA</t>
        </is>
      </c>
      <c r="D305" t="inlineStr">
        <is>
          <t>Metropolitan</t>
        </is>
      </c>
      <c r="E305" s="5" t="n">
        <v>757</v>
      </c>
      <c r="F305" s="4" t="n">
        <v>0.4319682959048877</v>
      </c>
      <c r="G305" s="4" t="n">
        <v>0.5940293164892514</v>
      </c>
      <c r="H305" s="3" t="n">
        <v>9891959.912369771</v>
      </c>
      <c r="I305" s="3" t="n">
        <v>761213.3763845526</v>
      </c>
      <c r="J305" s="4" t="n">
        <v>0.0769527356689613</v>
      </c>
      <c r="K305">
        <f>IF(AND(I305&gt;0,J305&gt;=Assumptions!$B$4),1,0)</f>
        <v/>
      </c>
      <c r="L305" s="3">
        <f>I305*K305</f>
        <v/>
      </c>
      <c r="M305">
        <f>SUM($K$2:K305)</f>
        <v/>
      </c>
    </row>
    <row r="306">
      <c r="A306" t="inlineStr">
        <is>
          <t>360056</t>
        </is>
      </c>
      <c r="B306" t="inlineStr">
        <is>
          <t>Mercy Health - Fairfield Hospital</t>
        </is>
      </c>
      <c r="C306" t="inlineStr">
        <is>
          <t>OH</t>
        </is>
      </c>
      <c r="D306" t="inlineStr">
        <is>
          <t>Metropolitan</t>
        </is>
      </c>
      <c r="E306" s="5" t="n">
        <v>1681</v>
      </c>
      <c r="F306" s="4" t="n">
        <v>0.5026769779892921</v>
      </c>
      <c r="G306" s="4" t="n">
        <v>0.5753429021353682</v>
      </c>
      <c r="H306" s="3" t="n">
        <v>25161148.07311293</v>
      </c>
      <c r="I306" s="3" t="n">
        <v>760952.2152211331</v>
      </c>
      <c r="J306" s="4" t="n">
        <v>0.0302431436359727</v>
      </c>
      <c r="K306">
        <f>IF(AND(I306&gt;0,J306&gt;=Assumptions!$B$4),1,0)</f>
        <v/>
      </c>
      <c r="L306" s="3">
        <f>I306*K306</f>
        <v/>
      </c>
      <c r="M306">
        <f>SUM($K$2:K306)</f>
        <v/>
      </c>
    </row>
    <row r="307">
      <c r="A307" t="inlineStr">
        <is>
          <t>310086</t>
        </is>
      </c>
      <c r="B307" t="inlineStr">
        <is>
          <t>Jefferson Stratford Hospital</t>
        </is>
      </c>
      <c r="C307" t="inlineStr">
        <is>
          <t>NJ</t>
        </is>
      </c>
      <c r="D307" t="inlineStr">
        <is>
          <t>Metropolitan</t>
        </is>
      </c>
      <c r="E307" s="5" t="n">
        <v>6580</v>
      </c>
      <c r="F307" s="4" t="n">
        <v>0.6022796352583587</v>
      </c>
      <c r="G307" s="4" t="n">
        <v>0.6118143549034893</v>
      </c>
      <c r="H307" s="3" t="n">
        <v>92544087.03977536</v>
      </c>
      <c r="I307" s="3" t="n">
        <v>759769.2421964854</v>
      </c>
      <c r="J307" s="4" t="n">
        <v>0.0082098086058154</v>
      </c>
      <c r="K307">
        <f>IF(AND(I307&gt;0,J307&gt;=Assumptions!$B$4),1,0)</f>
        <v/>
      </c>
      <c r="L307" s="3">
        <f>I307*K307</f>
        <v/>
      </c>
      <c r="M307">
        <f>SUM($K$2:K307)</f>
        <v/>
      </c>
    </row>
    <row r="308">
      <c r="A308" t="inlineStr">
        <is>
          <t>260040</t>
        </is>
      </c>
      <c r="B308" t="inlineStr">
        <is>
          <t>Cox Medical Centers</t>
        </is>
      </c>
      <c r="C308" t="inlineStr">
        <is>
          <t>MO</t>
        </is>
      </c>
      <c r="D308" t="inlineStr">
        <is>
          <t>Metropolitan</t>
        </is>
      </c>
      <c r="E308" s="5" t="n">
        <v>4264</v>
      </c>
      <c r="F308" s="4" t="n">
        <v>0.500703564727955</v>
      </c>
      <c r="G308" s="4" t="n">
        <v>0.5260845184579001</v>
      </c>
      <c r="H308" s="3" t="n">
        <v>78347919.19589676</v>
      </c>
      <c r="I308" s="3" t="n">
        <v>753279.33842884</v>
      </c>
      <c r="J308" s="4" t="n">
        <v>0.0096145417282287</v>
      </c>
      <c r="K308">
        <f>IF(AND(I308&gt;0,J308&gt;=Assumptions!$B$4),1,0)</f>
        <v/>
      </c>
      <c r="L308" s="3">
        <f>I308*K308</f>
        <v/>
      </c>
      <c r="M308">
        <f>SUM($K$2:K308)</f>
        <v/>
      </c>
    </row>
    <row r="309">
      <c r="A309" t="inlineStr">
        <is>
          <t>260047</t>
        </is>
      </c>
      <c r="B309" t="inlineStr">
        <is>
          <t>Capital Region Medical Center</t>
        </is>
      </c>
      <c r="C309" t="inlineStr">
        <is>
          <t>MO</t>
        </is>
      </c>
      <c r="D309" t="inlineStr">
        <is>
          <t>Metropolitan</t>
        </is>
      </c>
      <c r="E309" s="5" t="n">
        <v>614</v>
      </c>
      <c r="F309" s="4" t="n">
        <v>0.4657980456026058</v>
      </c>
      <c r="G309" s="4" t="n">
        <v>0.6271897925119018</v>
      </c>
      <c r="H309" s="3" t="n">
        <v>7956425.273921192</v>
      </c>
      <c r="I309" s="3" t="n">
        <v>750921.534869561</v>
      </c>
      <c r="J309" s="4" t="n">
        <v>0.0943792606625565</v>
      </c>
      <c r="K309">
        <f>IF(AND(I309&gt;0,J309&gt;=Assumptions!$B$4),1,0)</f>
        <v/>
      </c>
      <c r="L309" s="3">
        <f>I309*K309</f>
        <v/>
      </c>
      <c r="M309">
        <f>SUM($K$2:K309)</f>
        <v/>
      </c>
    </row>
    <row r="310">
      <c r="A310" t="inlineStr">
        <is>
          <t>100281</t>
        </is>
      </c>
      <c r="B310" t="inlineStr">
        <is>
          <t>Memorial Hospital West</t>
        </is>
      </c>
      <c r="C310" t="inlineStr">
        <is>
          <t>FL</t>
        </is>
      </c>
      <c r="D310" t="inlineStr">
        <is>
          <t>Metropolitan</t>
        </is>
      </c>
      <c r="E310" s="5" t="n">
        <v>2007</v>
      </c>
      <c r="F310" s="4" t="n">
        <v>0.5151968111609367</v>
      </c>
      <c r="G310" s="4" t="n">
        <v>0.5865378256609082</v>
      </c>
      <c r="H310" s="3" t="n">
        <v>26290463.23596096</v>
      </c>
      <c r="I310" s="3" t="n">
        <v>743748.5878427103</v>
      </c>
      <c r="J310" s="4" t="n">
        <v>0.0282896722346598</v>
      </c>
      <c r="K310">
        <f>IF(AND(I310&gt;0,J310&gt;=Assumptions!$B$4),1,0)</f>
        <v/>
      </c>
      <c r="L310" s="3">
        <f>I310*K310</f>
        <v/>
      </c>
      <c r="M310">
        <f>SUM($K$2:K310)</f>
        <v/>
      </c>
    </row>
    <row r="311">
      <c r="A311" t="inlineStr">
        <is>
          <t>520087</t>
        </is>
      </c>
      <c r="B311" t="inlineStr">
        <is>
          <t>Gundersen Lutheran Medical Center</t>
        </is>
      </c>
      <c r="C311" t="inlineStr">
        <is>
          <t>WI</t>
        </is>
      </c>
      <c r="D311" t="inlineStr">
        <is>
          <t>Metropolitan</t>
        </is>
      </c>
      <c r="E311" s="5" t="n">
        <v>1906</v>
      </c>
      <c r="F311" s="4" t="n">
        <v>0.5514165792235047</v>
      </c>
      <c r="G311" s="4" t="n">
        <v>0.5727323614528717</v>
      </c>
      <c r="H311" s="3" t="n">
        <v>35073548.20354834</v>
      </c>
      <c r="I311" s="3" t="n">
        <v>742566.8878212273</v>
      </c>
      <c r="J311" s="4" t="n">
        <v>0.0211717070514725</v>
      </c>
      <c r="K311">
        <f>IF(AND(I311&gt;0,J311&gt;=Assumptions!$B$4),1,0)</f>
        <v/>
      </c>
      <c r="L311" s="3">
        <f>I311*K311</f>
        <v/>
      </c>
      <c r="M311">
        <f>SUM($K$2:K311)</f>
        <v/>
      </c>
    </row>
    <row r="312">
      <c r="A312" t="inlineStr">
        <is>
          <t>500031</t>
        </is>
      </c>
      <c r="B312" t="inlineStr">
        <is>
          <t>Grays Harbor Community Hospital</t>
        </is>
      </c>
      <c r="C312" t="inlineStr">
        <is>
          <t>WA</t>
        </is>
      </c>
      <c r="D312" t="inlineStr">
        <is>
          <t>Micropolitan</t>
        </is>
      </c>
      <c r="E312" s="5" t="n">
        <v>625</v>
      </c>
      <c r="F312" s="4" t="n">
        <v>0.6</v>
      </c>
      <c r="G312" s="4" t="n">
        <v>0.6999721443386862</v>
      </c>
      <c r="H312" s="3" t="n">
        <v>9651742.288581962</v>
      </c>
      <c r="I312" s="3" t="n">
        <v>740718.0403233059</v>
      </c>
      <c r="J312" s="4" t="n">
        <v>0.0767444900802601</v>
      </c>
      <c r="K312">
        <f>IF(AND(I312&gt;0,J312&gt;=Assumptions!$B$4),1,0)</f>
        <v/>
      </c>
      <c r="L312" s="3">
        <f>I312*K312</f>
        <v/>
      </c>
      <c r="M312">
        <f>SUM($K$2:K312)</f>
        <v/>
      </c>
    </row>
    <row r="313">
      <c r="A313" t="inlineStr">
        <is>
          <t>500003</t>
        </is>
      </c>
      <c r="B313" t="inlineStr">
        <is>
          <t>Skagit Valley Hospital</t>
        </is>
      </c>
      <c r="C313" t="inlineStr">
        <is>
          <t>WA</t>
        </is>
      </c>
      <c r="D313" t="inlineStr">
        <is>
          <t>Metropolitan</t>
        </is>
      </c>
      <c r="E313" s="5" t="n">
        <v>1113</v>
      </c>
      <c r="F313" s="4" t="n">
        <v>0.5696316262353999</v>
      </c>
      <c r="G313" s="4" t="n">
        <v>0.6000818627033779</v>
      </c>
      <c r="H313" s="3" t="n">
        <v>15857592.18868161</v>
      </c>
      <c r="I313" s="3" t="n">
        <v>737676.1059302557</v>
      </c>
      <c r="J313" s="4" t="n">
        <v>0.046518796621392</v>
      </c>
      <c r="K313">
        <f>IF(AND(I313&gt;0,J313&gt;=Assumptions!$B$4),1,0)</f>
        <v/>
      </c>
      <c r="L313" s="3">
        <f>I313*K313</f>
        <v/>
      </c>
      <c r="M313">
        <f>SUM($K$2:K313)</f>
        <v/>
      </c>
    </row>
    <row r="314">
      <c r="A314" t="inlineStr">
        <is>
          <t>450346</t>
        </is>
      </c>
      <c r="B314" t="inlineStr">
        <is>
          <t>Baptist Beaumont Hospital</t>
        </is>
      </c>
      <c r="C314" t="inlineStr">
        <is>
          <t>TX</t>
        </is>
      </c>
      <c r="D314" t="inlineStr">
        <is>
          <t>Metropolitan</t>
        </is>
      </c>
      <c r="E314" s="5" t="n">
        <v>1659</v>
      </c>
      <c r="F314" s="4" t="n">
        <v>0.5889089813140446</v>
      </c>
      <c r="G314" s="4" t="n">
        <v>0.6368370877667793</v>
      </c>
      <c r="H314" s="3" t="n">
        <v>25078906.33818394</v>
      </c>
      <c r="I314" s="3" t="n">
        <v>727094.3578738831</v>
      </c>
      <c r="J314" s="4" t="n">
        <v>0.0289922673688064</v>
      </c>
      <c r="K314">
        <f>IF(AND(I314&gt;0,J314&gt;=Assumptions!$B$4),1,0)</f>
        <v/>
      </c>
      <c r="L314" s="3">
        <f>I314*K314</f>
        <v/>
      </c>
      <c r="M314">
        <f>SUM($K$2:K314)</f>
        <v/>
      </c>
    </row>
    <row r="315">
      <c r="A315" t="inlineStr">
        <is>
          <t>140252</t>
        </is>
      </c>
      <c r="B315" t="inlineStr">
        <is>
          <t>Northwest Community Hospital 1</t>
        </is>
      </c>
      <c r="C315" t="inlineStr">
        <is>
          <t>IL</t>
        </is>
      </c>
      <c r="D315" t="inlineStr">
        <is>
          <t>Metropolitan</t>
        </is>
      </c>
      <c r="E315" s="5" t="n">
        <v>6329</v>
      </c>
      <c r="F315" s="4" t="n">
        <v>0.5410017380312846</v>
      </c>
      <c r="G315" s="4" t="n">
        <v>0.5455892127554359</v>
      </c>
      <c r="H315" s="3" t="n">
        <v>102606535.8556394</v>
      </c>
      <c r="I315" s="3" t="n">
        <v>726084.2165288627</v>
      </c>
      <c r="J315" s="4" t="n">
        <v>0.007076393433167</v>
      </c>
      <c r="K315">
        <f>IF(AND(I315&gt;0,J315&gt;=Assumptions!$B$4),1,0)</f>
        <v/>
      </c>
      <c r="L315" s="3">
        <f>I315*K315</f>
        <v/>
      </c>
      <c r="M315">
        <f>SUM($K$2:K315)</f>
        <v/>
      </c>
    </row>
    <row r="316">
      <c r="A316" t="inlineStr">
        <is>
          <t>050290</t>
        </is>
      </c>
      <c r="B316" t="inlineStr">
        <is>
          <t>Saint John's Health Center</t>
        </is>
      </c>
      <c r="C316" t="inlineStr">
        <is>
          <t>CA</t>
        </is>
      </c>
      <c r="D316" t="inlineStr">
        <is>
          <t>Metropolitan</t>
        </is>
      </c>
      <c r="E316" s="5" t="n">
        <v>2645</v>
      </c>
      <c r="F316" s="4" t="n">
        <v>0.583742911153119</v>
      </c>
      <c r="G316" s="4" t="n">
        <v>0.5736063382606293</v>
      </c>
      <c r="H316" s="3" t="n">
        <v>48661251.64205982</v>
      </c>
      <c r="I316" s="3" t="n">
        <v>723132.9206505641</v>
      </c>
      <c r="J316" s="4" t="n">
        <v>0.0148605491278718</v>
      </c>
      <c r="K316">
        <f>IF(AND(I316&gt;0,J316&gt;=Assumptions!$B$4),1,0)</f>
        <v/>
      </c>
      <c r="L316" s="3">
        <f>I316*K316</f>
        <v/>
      </c>
      <c r="M316">
        <f>SUM($K$2:K316)</f>
        <v/>
      </c>
    </row>
    <row r="317">
      <c r="A317" t="inlineStr">
        <is>
          <t>220060</t>
        </is>
      </c>
      <c r="B317" t="inlineStr">
        <is>
          <t>Beth Israel Deaconess Hospital - Plymouth</t>
        </is>
      </c>
      <c r="C317" t="inlineStr">
        <is>
          <t>MA</t>
        </is>
      </c>
      <c r="D317" t="inlineStr">
        <is>
          <t>Metropolitan</t>
        </is>
      </c>
      <c r="E317" s="5" t="n">
        <v>3878</v>
      </c>
      <c r="F317" s="4" t="n">
        <v>0.5660134089736978</v>
      </c>
      <c r="G317" s="4" t="n">
        <v>0.5859857015518122</v>
      </c>
      <c r="H317" s="3" t="n">
        <v>56064912.36994894</v>
      </c>
      <c r="I317" s="3" t="n">
        <v>723096.8348847479</v>
      </c>
      <c r="J317" s="4" t="n">
        <v>0.0128974933575804</v>
      </c>
      <c r="K317">
        <f>IF(AND(I317&gt;0,J317&gt;=Assumptions!$B$4),1,0)</f>
        <v/>
      </c>
      <c r="L317" s="3">
        <f>I317*K317</f>
        <v/>
      </c>
      <c r="M317">
        <f>SUM($K$2:K317)</f>
        <v/>
      </c>
    </row>
    <row r="318">
      <c r="A318" t="inlineStr">
        <is>
          <t>170012</t>
        </is>
      </c>
      <c r="B318" t="inlineStr">
        <is>
          <t>Salina Regional Health Center</t>
        </is>
      </c>
      <c r="C318" t="inlineStr">
        <is>
          <t>KS</t>
        </is>
      </c>
      <c r="D318" t="inlineStr">
        <is>
          <t>Micropolitan</t>
        </is>
      </c>
      <c r="E318" s="5" t="n">
        <v>1328</v>
      </c>
      <c r="F318" s="4" t="n">
        <v>0.4487951807228915</v>
      </c>
      <c r="G318" s="4" t="n">
        <v>0.5488696624703909</v>
      </c>
      <c r="H318" s="3" t="n">
        <v>23323167.9153802</v>
      </c>
      <c r="I318" s="3" t="n">
        <v>721695.0570780821</v>
      </c>
      <c r="J318" s="4" t="n">
        <v>0.0309432689288391</v>
      </c>
      <c r="K318">
        <f>IF(AND(I318&gt;0,J318&gt;=Assumptions!$B$4),1,0)</f>
        <v/>
      </c>
      <c r="L318" s="3">
        <f>I318*K318</f>
        <v/>
      </c>
      <c r="M318">
        <f>SUM($K$2:K318)</f>
        <v/>
      </c>
    </row>
    <row r="319">
      <c r="A319" t="inlineStr">
        <is>
          <t>450007</t>
        </is>
      </c>
      <c r="B319" t="inlineStr">
        <is>
          <t>Peterson Regional Medical Center</t>
        </is>
      </c>
      <c r="C319" t="inlineStr">
        <is>
          <t>TX</t>
        </is>
      </c>
      <c r="D319" t="inlineStr">
        <is>
          <t>Micropolitan</t>
        </is>
      </c>
      <c r="E319" s="5" t="n">
        <v>968</v>
      </c>
      <c r="F319" s="4" t="n">
        <v>0.5113636363636364</v>
      </c>
      <c r="G319" s="4" t="n">
        <v>0.6026739953229382</v>
      </c>
      <c r="H319" s="3" t="n">
        <v>12879899.94604251</v>
      </c>
      <c r="I319" s="3" t="n">
        <v>721368.8645008877</v>
      </c>
      <c r="J319" s="4" t="n">
        <v>0.0560073344919528</v>
      </c>
      <c r="K319">
        <f>IF(AND(I319&gt;0,J319&gt;=Assumptions!$B$4),1,0)</f>
        <v/>
      </c>
      <c r="L319" s="3">
        <f>I319*K319</f>
        <v/>
      </c>
      <c r="M319">
        <f>SUM($K$2:K319)</f>
        <v/>
      </c>
    </row>
    <row r="320">
      <c r="A320" t="inlineStr">
        <is>
          <t>260110</t>
        </is>
      </c>
      <c r="B320" t="inlineStr">
        <is>
          <t>Mercy Hospital Southeast</t>
        </is>
      </c>
      <c r="C320" t="inlineStr">
        <is>
          <t>MO</t>
        </is>
      </c>
      <c r="D320" t="inlineStr">
        <is>
          <t>Metropolitan</t>
        </is>
      </c>
      <c r="E320" s="5" t="n">
        <v>1117</v>
      </c>
      <c r="F320" s="4" t="n">
        <v>0.5031333930170099</v>
      </c>
      <c r="G320" s="4" t="n">
        <v>0.5821724829836173</v>
      </c>
      <c r="H320" s="3" t="n">
        <v>19960143.9217142</v>
      </c>
      <c r="I320" s="3" t="n">
        <v>721085.1952145435</v>
      </c>
      <c r="J320" s="4" t="n">
        <v>0.0361262522977146</v>
      </c>
      <c r="K320">
        <f>IF(AND(I320&gt;0,J320&gt;=Assumptions!$B$4),1,0)</f>
        <v/>
      </c>
      <c r="L320" s="3">
        <f>I320*K320</f>
        <v/>
      </c>
      <c r="M320">
        <f>SUM($K$2:K320)</f>
        <v/>
      </c>
    </row>
    <row r="321">
      <c r="A321" t="inlineStr">
        <is>
          <t>330279</t>
        </is>
      </c>
      <c r="B321" t="inlineStr">
        <is>
          <t>Mercy Hospital Of Buffalo</t>
        </is>
      </c>
      <c r="C321" t="inlineStr">
        <is>
          <t>NY</t>
        </is>
      </c>
      <c r="D321" t="inlineStr">
        <is>
          <t>Metropolitan</t>
        </is>
      </c>
      <c r="E321" s="5" t="n">
        <v>1904</v>
      </c>
      <c r="F321" s="4" t="n">
        <v>0.5504201680672269</v>
      </c>
      <c r="G321" s="4" t="n">
        <v>0.584537913489059</v>
      </c>
      <c r="H321" s="3" t="n">
        <v>31364573.67664711</v>
      </c>
      <c r="I321" s="3" t="n">
        <v>718250.6079560146</v>
      </c>
      <c r="J321" s="4" t="n">
        <v>0.0229000596456631</v>
      </c>
      <c r="K321">
        <f>IF(AND(I321&gt;0,J321&gt;=Assumptions!$B$4),1,0)</f>
        <v/>
      </c>
      <c r="L321" s="3">
        <f>I321*K321</f>
        <v/>
      </c>
      <c r="M321">
        <f>SUM($K$2:K321)</f>
        <v/>
      </c>
    </row>
    <row r="322">
      <c r="A322" t="inlineStr">
        <is>
          <t>150153</t>
        </is>
      </c>
      <c r="B322" t="inlineStr">
        <is>
          <t>Ascension St Vincent Heart Center</t>
        </is>
      </c>
      <c r="C322" t="inlineStr">
        <is>
          <t>IN</t>
        </is>
      </c>
      <c r="D322" t="inlineStr">
        <is>
          <t>Metropolitan</t>
        </is>
      </c>
      <c r="E322" s="5" t="n">
        <v>1033</v>
      </c>
      <c r="F322" s="4" t="n">
        <v>0.4007744433688286</v>
      </c>
      <c r="G322" s="4" t="n">
        <v>0.4848307069095383</v>
      </c>
      <c r="H322" s="3" t="n">
        <v>27147775.151787</v>
      </c>
      <c r="I322" s="3" t="n">
        <v>716337.5392191969</v>
      </c>
      <c r="J322" s="4" t="n">
        <v>0.026386602040648</v>
      </c>
      <c r="K322">
        <f>IF(AND(I322&gt;0,J322&gt;=Assumptions!$B$4),1,0)</f>
        <v/>
      </c>
      <c r="L322" s="3">
        <f>I322*K322</f>
        <v/>
      </c>
      <c r="M322">
        <f>SUM($K$2:K322)</f>
        <v/>
      </c>
    </row>
    <row r="323">
      <c r="A323" t="inlineStr">
        <is>
          <t>440012</t>
        </is>
      </c>
      <c r="B323" t="inlineStr">
        <is>
          <t>Bristol Regional Medical Center</t>
        </is>
      </c>
      <c r="C323" t="inlineStr">
        <is>
          <t>TN</t>
        </is>
      </c>
      <c r="D323" t="inlineStr">
        <is>
          <t>Metropolitan</t>
        </is>
      </c>
      <c r="E323" s="5" t="n">
        <v>1956</v>
      </c>
      <c r="F323" s="4" t="n">
        <v>0.5516359918200409</v>
      </c>
      <c r="G323" s="4" t="n">
        <v>0.5979063531385295</v>
      </c>
      <c r="H323" s="3" t="n">
        <v>28493239.01081817</v>
      </c>
      <c r="I323" s="3" t="n">
        <v>716164.5822384208</v>
      </c>
      <c r="J323" s="4" t="n">
        <v>0.0251345444428592</v>
      </c>
      <c r="K323">
        <f>IF(AND(I323&gt;0,J323&gt;=Assumptions!$B$4),1,0)</f>
        <v/>
      </c>
      <c r="L323" s="3">
        <f>I323*K323</f>
        <v/>
      </c>
      <c r="M323">
        <f>SUM($K$2:K323)</f>
        <v/>
      </c>
    </row>
    <row r="324">
      <c r="A324" t="inlineStr">
        <is>
          <t>100077</t>
        </is>
      </c>
      <c r="B324" t="inlineStr">
        <is>
          <t>Shorepoint Health Port Charlotte</t>
        </is>
      </c>
      <c r="C324" t="inlineStr">
        <is>
          <t>FL</t>
        </is>
      </c>
      <c r="D324" t="inlineStr">
        <is>
          <t>Metropolitan</t>
        </is>
      </c>
      <c r="E324" s="5" t="n">
        <v>1763</v>
      </c>
      <c r="F324" s="4" t="n">
        <v>0.4549064095292116</v>
      </c>
      <c r="G324" s="4" t="n">
        <v>0.5238469232447324</v>
      </c>
      <c r="H324" s="3" t="n">
        <v>29634943.38426025</v>
      </c>
      <c r="I324" s="3" t="n">
        <v>713666.0232515894</v>
      </c>
      <c r="J324" s="4" t="n">
        <v>0.0240819094539128</v>
      </c>
      <c r="K324">
        <f>IF(AND(I324&gt;0,J324&gt;=Assumptions!$B$4),1,0)</f>
        <v/>
      </c>
      <c r="L324" s="3">
        <f>I324*K324</f>
        <v/>
      </c>
      <c r="M324">
        <f>SUM($K$2:K324)</f>
        <v/>
      </c>
    </row>
    <row r="325">
      <c r="A325" t="inlineStr">
        <is>
          <t>300023</t>
        </is>
      </c>
      <c r="B325" t="inlineStr">
        <is>
          <t>Exeter Hospital Inc</t>
        </is>
      </c>
      <c r="C325" t="inlineStr">
        <is>
          <t>NH</t>
        </is>
      </c>
      <c r="D325" t="inlineStr">
        <is>
          <t>Metropolitan</t>
        </is>
      </c>
      <c r="E325" s="5" t="n">
        <v>1147</v>
      </c>
      <c r="F325" s="4" t="n">
        <v>0.5719267654751525</v>
      </c>
      <c r="G325" s="4" t="n">
        <v>0.6499538082881985</v>
      </c>
      <c r="H325" s="3" t="n">
        <v>15384620.24869441</v>
      </c>
      <c r="I325" s="3" t="n">
        <v>711645.5052789301</v>
      </c>
      <c r="J325" s="4" t="n">
        <v>0.0462569432182976</v>
      </c>
      <c r="K325">
        <f>IF(AND(I325&gt;0,J325&gt;=Assumptions!$B$4),1,0)</f>
        <v/>
      </c>
      <c r="L325" s="3">
        <f>I325*K325</f>
        <v/>
      </c>
      <c r="M325">
        <f>SUM($K$2:K325)</f>
        <v/>
      </c>
    </row>
    <row r="326">
      <c r="A326" t="inlineStr">
        <is>
          <t>030093</t>
        </is>
      </c>
      <c r="B326" t="inlineStr">
        <is>
          <t>Banner Del E. Webb Medical Center</t>
        </is>
      </c>
      <c r="C326" t="inlineStr">
        <is>
          <t>AZ</t>
        </is>
      </c>
      <c r="D326" t="inlineStr">
        <is>
          <t>Metropolitan</t>
        </is>
      </c>
      <c r="E326" s="5" t="n">
        <v>3694</v>
      </c>
      <c r="F326" s="4" t="n">
        <v>0.5993502977801841</v>
      </c>
      <c r="G326" s="4" t="n">
        <v>0.6065312628186793</v>
      </c>
      <c r="H326" s="3" t="n">
        <v>57188131.08520333</v>
      </c>
      <c r="I326" s="3" t="n">
        <v>711643.2915394828</v>
      </c>
      <c r="J326" s="4" t="n">
        <v>0.0124438983760322</v>
      </c>
      <c r="K326">
        <f>IF(AND(I326&gt;0,J326&gt;=Assumptions!$B$4),1,0)</f>
        <v/>
      </c>
      <c r="L326" s="3">
        <f>I326*K326</f>
        <v/>
      </c>
      <c r="M326">
        <f>SUM($K$2:K326)</f>
        <v/>
      </c>
    </row>
    <row r="327">
      <c r="A327" t="inlineStr">
        <is>
          <t>300018</t>
        </is>
      </c>
      <c r="B327" t="inlineStr">
        <is>
          <t>Wentworth-Douglass Hospital</t>
        </is>
      </c>
      <c r="C327" t="inlineStr">
        <is>
          <t>NH</t>
        </is>
      </c>
      <c r="D327" t="inlineStr">
        <is>
          <t>Metropolitan</t>
        </is>
      </c>
      <c r="E327" s="5" t="n">
        <v>2176</v>
      </c>
      <c r="F327" s="4" t="n">
        <v>0.5546875</v>
      </c>
      <c r="G327" s="4" t="n">
        <v>0.6032371618614187</v>
      </c>
      <c r="H327" s="3" t="n">
        <v>28330723.17048854</v>
      </c>
      <c r="I327" s="3" t="n">
        <v>708968.8980022408</v>
      </c>
      <c r="J327" s="4" t="n">
        <v>0.0250247370579215</v>
      </c>
      <c r="K327">
        <f>IF(AND(I327&gt;0,J327&gt;=Assumptions!$B$4),1,0)</f>
        <v/>
      </c>
      <c r="L327" s="3">
        <f>I327*K327</f>
        <v/>
      </c>
      <c r="M327">
        <f>SUM($K$2:K327)</f>
        <v/>
      </c>
    </row>
    <row r="328">
      <c r="A328" t="inlineStr">
        <is>
          <t>420105</t>
        </is>
      </c>
      <c r="B328" t="inlineStr">
        <is>
          <t>Mcleod Loris  Hospital</t>
        </is>
      </c>
      <c r="C328" t="inlineStr">
        <is>
          <t>SC</t>
        </is>
      </c>
      <c r="D328" t="inlineStr">
        <is>
          <t>Rural</t>
        </is>
      </c>
      <c r="E328" s="5" t="n">
        <v>2597</v>
      </c>
      <c r="F328" s="4" t="n">
        <v>0.536003080477474</v>
      </c>
      <c r="G328" s="4" t="n">
        <v>0.5741119972600265</v>
      </c>
      <c r="H328" s="3" t="n">
        <v>37026518.72815569</v>
      </c>
      <c r="I328" s="3" t="n">
        <v>708865.4782312363</v>
      </c>
      <c r="J328" s="4" t="n">
        <v>0.0191448049284795</v>
      </c>
      <c r="K328">
        <f>IF(AND(I328&gt;0,J328&gt;=Assumptions!$B$4),1,0)</f>
        <v/>
      </c>
      <c r="L328" s="3">
        <f>I328*K328</f>
        <v/>
      </c>
      <c r="M328">
        <f>SUM($K$2:K328)</f>
        <v/>
      </c>
    </row>
    <row r="329">
      <c r="A329" t="inlineStr">
        <is>
          <t>260162</t>
        </is>
      </c>
      <c r="B329" t="inlineStr">
        <is>
          <t>Barnes-Jewish West County Hospital</t>
        </is>
      </c>
      <c r="C329" t="inlineStr">
        <is>
          <t>MO</t>
        </is>
      </c>
      <c r="D329" t="inlineStr">
        <is>
          <t>Metropolitan</t>
        </is>
      </c>
      <c r="E329" s="5" t="n">
        <v>498</v>
      </c>
      <c r="F329" s="4" t="n">
        <v>0.2811244979919678</v>
      </c>
      <c r="G329" s="4" t="n">
        <v>0.4541299913672428</v>
      </c>
      <c r="H329" s="3" t="n">
        <v>8113723.979798142</v>
      </c>
      <c r="I329" s="3" t="n">
        <v>708643.2730211411</v>
      </c>
      <c r="J329" s="4" t="n">
        <v>0.0873388440111529</v>
      </c>
      <c r="K329">
        <f>IF(AND(I329&gt;0,J329&gt;=Assumptions!$B$4),1,0)</f>
        <v/>
      </c>
      <c r="L329" s="3">
        <f>I329*K329</f>
        <v/>
      </c>
      <c r="M329">
        <f>SUM($K$2:K329)</f>
        <v/>
      </c>
    </row>
    <row r="330">
      <c r="A330" t="inlineStr">
        <is>
          <t>390049</t>
        </is>
      </c>
      <c r="B330" t="inlineStr">
        <is>
          <t>St Luke's Hospital Bethlehem</t>
        </is>
      </c>
      <c r="C330" t="inlineStr">
        <is>
          <t>PA</t>
        </is>
      </c>
      <c r="D330" t="inlineStr">
        <is>
          <t>Metropolitan</t>
        </is>
      </c>
      <c r="E330" s="5" t="n">
        <v>5946</v>
      </c>
      <c r="F330" s="4" t="n">
        <v>0.4961318533467878</v>
      </c>
      <c r="G330" s="4" t="n">
        <v>0.5112790599705164</v>
      </c>
      <c r="H330" s="3" t="n">
        <v>111550036.3678314</v>
      </c>
      <c r="I330" s="3" t="n">
        <v>707390.445016712</v>
      </c>
      <c r="J330" s="4" t="n">
        <v>0.0063414631500802</v>
      </c>
      <c r="K330">
        <f>IF(AND(I330&gt;0,J330&gt;=Assumptions!$B$4),1,0)</f>
        <v/>
      </c>
      <c r="L330" s="3">
        <f>I330*K330</f>
        <v/>
      </c>
      <c r="M330">
        <f>SUM($K$2:K330)</f>
        <v/>
      </c>
    </row>
    <row r="331">
      <c r="A331" t="inlineStr">
        <is>
          <t>110074</t>
        </is>
      </c>
      <c r="B331" t="inlineStr">
        <is>
          <t>Piedmont Athens Regional Medical Center</t>
        </is>
      </c>
      <c r="C331" t="inlineStr">
        <is>
          <t>GA</t>
        </is>
      </c>
      <c r="D331" t="inlineStr">
        <is>
          <t>Metropolitan</t>
        </is>
      </c>
      <c r="E331" s="5" t="n">
        <v>3972</v>
      </c>
      <c r="F331" s="4" t="n">
        <v>0.5906344410876133</v>
      </c>
      <c r="G331" s="4" t="n">
        <v>0.5914379193684015</v>
      </c>
      <c r="H331" s="3" t="n">
        <v>64747206.50729642</v>
      </c>
      <c r="I331" s="3" t="n">
        <v>706677.6568762511</v>
      </c>
      <c r="J331" s="4" t="n">
        <v>0.0109144115244047</v>
      </c>
      <c r="K331">
        <f>IF(AND(I331&gt;0,J331&gt;=Assumptions!$B$4),1,0)</f>
        <v/>
      </c>
      <c r="L331" s="3">
        <f>I331*K331</f>
        <v/>
      </c>
      <c r="M331">
        <f>SUM($K$2:K331)</f>
        <v/>
      </c>
    </row>
    <row r="332">
      <c r="A332" t="inlineStr">
        <is>
          <t>450029</t>
        </is>
      </c>
      <c r="B332" t="inlineStr">
        <is>
          <t>Laredo Medical Center</t>
        </is>
      </c>
      <c r="C332" t="inlineStr">
        <is>
          <t>TX</t>
        </is>
      </c>
      <c r="D332" t="inlineStr">
        <is>
          <t>Metropolitan</t>
        </is>
      </c>
      <c r="E332" s="5" t="n">
        <v>1393</v>
      </c>
      <c r="F332" s="4" t="n">
        <v>0.6195262024407753</v>
      </c>
      <c r="G332" s="4" t="n">
        <v>0.6633583068482675</v>
      </c>
      <c r="H332" s="3" t="n">
        <v>22149697.54460874</v>
      </c>
      <c r="I332" s="3" t="n">
        <v>703240.7698824778</v>
      </c>
      <c r="J332" s="4" t="n">
        <v>0.0317494524909956</v>
      </c>
      <c r="K332">
        <f>IF(AND(I332&gt;0,J332&gt;=Assumptions!$B$4),1,0)</f>
        <v/>
      </c>
      <c r="L332" s="3">
        <f>I332*K332</f>
        <v/>
      </c>
      <c r="M332">
        <f>SUM($K$2:K332)</f>
        <v/>
      </c>
    </row>
    <row r="333">
      <c r="A333" t="inlineStr">
        <is>
          <t>160082</t>
        </is>
      </c>
      <c r="B333" t="inlineStr">
        <is>
          <t>Unitypoint Health - Des Moines Iowa Methodist Medi</t>
        </is>
      </c>
      <c r="C333" t="inlineStr">
        <is>
          <t>IA</t>
        </is>
      </c>
      <c r="D333" t="inlineStr">
        <is>
          <t>Metropolitan</t>
        </is>
      </c>
      <c r="E333" s="5" t="n">
        <v>5771</v>
      </c>
      <c r="F333" s="4" t="n">
        <v>0.5421937272569746</v>
      </c>
      <c r="G333" s="4" t="n">
        <v>0.5285821849825739</v>
      </c>
      <c r="H333" s="3" t="n">
        <v>99093408.09964214</v>
      </c>
      <c r="I333" s="3" t="n">
        <v>702231.2070135474</v>
      </c>
      <c r="J333" s="4" t="n">
        <v>0.0070865582330908</v>
      </c>
      <c r="K333">
        <f>IF(AND(I333&gt;0,J333&gt;=Assumptions!$B$4),1,0)</f>
        <v/>
      </c>
      <c r="L333" s="3">
        <f>I333*K333</f>
        <v/>
      </c>
      <c r="M333">
        <f>SUM($K$2:K333)</f>
        <v/>
      </c>
    </row>
    <row r="334">
      <c r="A334" t="inlineStr">
        <is>
          <t>110215</t>
        </is>
      </c>
      <c r="B334" t="inlineStr">
        <is>
          <t>Piedmont Fayette Hospital</t>
        </is>
      </c>
      <c r="C334" t="inlineStr">
        <is>
          <t>GA</t>
        </is>
      </c>
      <c r="D334" t="inlineStr">
        <is>
          <t>Metropolitan</t>
        </is>
      </c>
      <c r="E334" s="5" t="n">
        <v>2831</v>
      </c>
      <c r="F334" s="4" t="n">
        <v>0.6287530907806429</v>
      </c>
      <c r="G334" s="4" t="n">
        <v>0.6401727553485069</v>
      </c>
      <c r="H334" s="3" t="n">
        <v>41709176.41789902</v>
      </c>
      <c r="I334" s="3" t="n">
        <v>698941.5361245945</v>
      </c>
      <c r="J334" s="4" t="n">
        <v>0.0167575002949387</v>
      </c>
      <c r="K334">
        <f>IF(AND(I334&gt;0,J334&gt;=Assumptions!$B$4),1,0)</f>
        <v/>
      </c>
      <c r="L334" s="3">
        <f>I334*K334</f>
        <v/>
      </c>
      <c r="M334">
        <f>SUM($K$2:K334)</f>
        <v/>
      </c>
    </row>
    <row r="335">
      <c r="A335" t="inlineStr">
        <is>
          <t>100084</t>
        </is>
      </c>
      <c r="B335" t="inlineStr">
        <is>
          <t>Uf Health Leesburg Hospital</t>
        </is>
      </c>
      <c r="C335" t="inlineStr">
        <is>
          <t>FL</t>
        </is>
      </c>
      <c r="D335" t="inlineStr">
        <is>
          <t>Metropolitan</t>
        </is>
      </c>
      <c r="E335" s="5" t="n">
        <v>3204</v>
      </c>
      <c r="F335" s="4" t="n">
        <v>0.5003121098626716</v>
      </c>
      <c r="G335" s="4" t="n">
        <v>0.5459923068853467</v>
      </c>
      <c r="H335" s="3" t="n">
        <v>51504158.55164834</v>
      </c>
      <c r="I335" s="3" t="n">
        <v>690227.517048046</v>
      </c>
      <c r="J335" s="4" t="n">
        <v>0.0134013939157143</v>
      </c>
      <c r="K335">
        <f>IF(AND(I335&gt;0,J335&gt;=Assumptions!$B$4),1,0)</f>
        <v/>
      </c>
      <c r="L335" s="3">
        <f>I335*K335</f>
        <v/>
      </c>
      <c r="M335">
        <f>SUM($K$2:K335)</f>
        <v/>
      </c>
    </row>
    <row r="336">
      <c r="A336" t="inlineStr">
        <is>
          <t>230092</t>
        </is>
      </c>
      <c r="B336" t="inlineStr">
        <is>
          <t>Henry Ford Health Jackson Hospital</t>
        </is>
      </c>
      <c r="C336" t="inlineStr">
        <is>
          <t>MI</t>
        </is>
      </c>
      <c r="D336" t="inlineStr">
        <is>
          <t>Metropolitan</t>
        </is>
      </c>
      <c r="E336" s="5" t="n">
        <v>2669</v>
      </c>
      <c r="F336" s="4" t="n">
        <v>0.5387785687523416</v>
      </c>
      <c r="G336" s="4" t="n">
        <v>0.5661841302520042</v>
      </c>
      <c r="H336" s="3" t="n">
        <v>42348462.68216547</v>
      </c>
      <c r="I336" s="3" t="n">
        <v>688929.6296592206</v>
      </c>
      <c r="J336" s="4" t="n">
        <v>0.0162681142602457</v>
      </c>
      <c r="K336">
        <f>IF(AND(I336&gt;0,J336&gt;=Assumptions!$B$4),1,0)</f>
        <v/>
      </c>
      <c r="L336" s="3">
        <f>I336*K336</f>
        <v/>
      </c>
      <c r="M336">
        <f>SUM($K$2:K336)</f>
        <v/>
      </c>
    </row>
    <row r="337">
      <c r="A337" t="inlineStr">
        <is>
          <t>050195</t>
        </is>
      </c>
      <c r="B337" t="inlineStr">
        <is>
          <t>Washington Hospital</t>
        </is>
      </c>
      <c r="C337" t="inlineStr">
        <is>
          <t>CA</t>
        </is>
      </c>
      <c r="D337" t="inlineStr">
        <is>
          <t>Metropolitan</t>
        </is>
      </c>
      <c r="E337" s="5" t="n">
        <v>2489</v>
      </c>
      <c r="F337" s="4" t="n">
        <v>0.5962233828846927</v>
      </c>
      <c r="G337" s="4" t="n">
        <v>0.6223564209916034</v>
      </c>
      <c r="H337" s="3" t="n">
        <v>35895244.12785602</v>
      </c>
      <c r="I337" s="3" t="n">
        <v>687973.6243221462</v>
      </c>
      <c r="J337" s="4" t="n">
        <v>0.019166149751528</v>
      </c>
      <c r="K337">
        <f>IF(AND(I337&gt;0,J337&gt;=Assumptions!$B$4),1,0)</f>
        <v/>
      </c>
      <c r="L337" s="3">
        <f>I337*K337</f>
        <v/>
      </c>
      <c r="M337">
        <f>SUM($K$2:K337)</f>
        <v/>
      </c>
    </row>
    <row r="338">
      <c r="A338" t="inlineStr">
        <is>
          <t>020024</t>
        </is>
      </c>
      <c r="B338" t="inlineStr">
        <is>
          <t>Central Peninsula General Hospital</t>
        </is>
      </c>
      <c r="C338" t="inlineStr">
        <is>
          <t>AK</t>
        </is>
      </c>
      <c r="D338" t="inlineStr">
        <is>
          <t>Small town</t>
        </is>
      </c>
      <c r="E338" s="5" t="n">
        <v>481</v>
      </c>
      <c r="F338" s="4" t="n">
        <v>0.4906444906444906</v>
      </c>
      <c r="G338" s="4" t="n">
        <v>0.7269610892933371</v>
      </c>
      <c r="H338" s="3" t="n">
        <v>7827999.463263104</v>
      </c>
      <c r="I338" s="3" t="n">
        <v>685696.8371556541</v>
      </c>
      <c r="J338" s="4" t="n">
        <v>0.08759541187676841</v>
      </c>
      <c r="K338">
        <f>IF(AND(I338&gt;0,J338&gt;=Assumptions!$B$4),1,0)</f>
        <v/>
      </c>
      <c r="L338" s="3">
        <f>I338*K338</f>
        <v/>
      </c>
      <c r="M338">
        <f>SUM($K$2:K338)</f>
        <v/>
      </c>
    </row>
    <row r="339">
      <c r="A339" t="inlineStr">
        <is>
          <t>100166</t>
        </is>
      </c>
      <c r="B339" t="inlineStr">
        <is>
          <t>Hca Florida Sarasota Doctors Hospital</t>
        </is>
      </c>
      <c r="C339" t="inlineStr">
        <is>
          <t>FL</t>
        </is>
      </c>
      <c r="D339" t="inlineStr">
        <is>
          <t>Metropolitan</t>
        </is>
      </c>
      <c r="E339" s="5" t="n">
        <v>1629</v>
      </c>
      <c r="F339" s="4" t="n">
        <v>0.5052179251074279</v>
      </c>
      <c r="G339" s="4" t="n">
        <v>0.5378384006890319</v>
      </c>
      <c r="H339" s="3" t="n">
        <v>25731934.63227187</v>
      </c>
      <c r="I339" s="3" t="n">
        <v>684185.2020121217</v>
      </c>
      <c r="J339" s="4" t="n">
        <v>0.026588953057344</v>
      </c>
      <c r="K339">
        <f>IF(AND(I339&gt;0,J339&gt;=Assumptions!$B$4),1,0)</f>
        <v/>
      </c>
      <c r="L339" s="3">
        <f>I339*K339</f>
        <v/>
      </c>
      <c r="M339">
        <f>SUM($K$2:K339)</f>
        <v/>
      </c>
    </row>
    <row r="340">
      <c r="A340" t="inlineStr">
        <is>
          <t>490141</t>
        </is>
      </c>
      <c r="B340" t="inlineStr">
        <is>
          <t>Spotsylvania Regional Medical Center</t>
        </is>
      </c>
      <c r="C340" t="inlineStr">
        <is>
          <t>VA</t>
        </is>
      </c>
      <c r="D340" t="inlineStr">
        <is>
          <t>Metropolitan</t>
        </is>
      </c>
      <c r="E340" s="5" t="n">
        <v>977</v>
      </c>
      <c r="F340" s="4" t="n">
        <v>0.5598771750255885</v>
      </c>
      <c r="G340" s="4" t="n">
        <v>0.6233505952531339</v>
      </c>
      <c r="H340" s="3" t="n">
        <v>13502953.61474678</v>
      </c>
      <c r="I340" s="3" t="n">
        <v>683695.7355400622</v>
      </c>
      <c r="J340" s="4" t="n">
        <v>0.0506330507418308</v>
      </c>
      <c r="K340">
        <f>IF(AND(I340&gt;0,J340&gt;=Assumptions!$B$4),1,0)</f>
        <v/>
      </c>
      <c r="L340" s="3">
        <f>I340*K340</f>
        <v/>
      </c>
      <c r="M340">
        <f>SUM($K$2:K340)</f>
        <v/>
      </c>
    </row>
    <row r="341">
      <c r="A341" t="inlineStr">
        <is>
          <t>040062</t>
        </is>
      </c>
      <c r="B341" t="inlineStr">
        <is>
          <t>Mercy Hospital Fort Smith</t>
        </is>
      </c>
      <c r="C341" t="inlineStr">
        <is>
          <t>AR</t>
        </is>
      </c>
      <c r="D341" t="inlineStr">
        <is>
          <t>Metropolitan</t>
        </is>
      </c>
      <c r="E341" s="5" t="n">
        <v>2771</v>
      </c>
      <c r="F341" s="4" t="n">
        <v>0.5871526524720317</v>
      </c>
      <c r="G341" s="4" t="n">
        <v>0.6041320658087317</v>
      </c>
      <c r="H341" s="3" t="n">
        <v>42603864.24777011</v>
      </c>
      <c r="I341" s="3" t="n">
        <v>683399.3471387178</v>
      </c>
      <c r="J341" s="4" t="n">
        <v>0.0160407831356397</v>
      </c>
      <c r="K341">
        <f>IF(AND(I341&gt;0,J341&gt;=Assumptions!$B$4),1,0)</f>
        <v/>
      </c>
      <c r="L341" s="3">
        <f>I341*K341</f>
        <v/>
      </c>
      <c r="M341">
        <f>SUM($K$2:K341)</f>
        <v/>
      </c>
    </row>
    <row r="342">
      <c r="A342" t="inlineStr">
        <is>
          <t>030014</t>
        </is>
      </c>
      <c r="B342" t="inlineStr">
        <is>
          <t>Honorhealth John C. Lincoln Medical Center</t>
        </is>
      </c>
      <c r="C342" t="inlineStr">
        <is>
          <t>AZ</t>
        </is>
      </c>
      <c r="D342" t="inlineStr">
        <is>
          <t>Metropolitan</t>
        </is>
      </c>
      <c r="E342" s="5" t="n">
        <v>1714</v>
      </c>
      <c r="F342" s="4" t="n">
        <v>0.4632438739789965</v>
      </c>
      <c r="G342" s="4" t="n">
        <v>0.5345970487906102</v>
      </c>
      <c r="H342" s="3" t="n">
        <v>30182097.79812188</v>
      </c>
      <c r="I342" s="3" t="n">
        <v>682089.6013618037</v>
      </c>
      <c r="J342" s="4" t="n">
        <v>0.0225991448945688</v>
      </c>
      <c r="K342">
        <f>IF(AND(I342&gt;0,J342&gt;=Assumptions!$B$4),1,0)</f>
        <v/>
      </c>
      <c r="L342" s="3">
        <f>I342*K342</f>
        <v/>
      </c>
      <c r="M342">
        <f>SUM($K$2:K342)</f>
        <v/>
      </c>
    </row>
    <row r="343">
      <c r="A343" t="inlineStr">
        <is>
          <t>390096</t>
        </is>
      </c>
      <c r="B343" t="inlineStr">
        <is>
          <t>Penn State Health St. Joseph</t>
        </is>
      </c>
      <c r="C343" t="inlineStr">
        <is>
          <t>PA</t>
        </is>
      </c>
      <c r="D343" t="inlineStr">
        <is>
          <t>Metropolitan</t>
        </is>
      </c>
      <c r="E343" s="5" t="n">
        <v>1145</v>
      </c>
      <c r="F343" s="4" t="n">
        <v>0.5275109170305677</v>
      </c>
      <c r="G343" s="4" t="n">
        <v>0.604521182834757</v>
      </c>
      <c r="H343" s="3" t="n">
        <v>16292673.56624298</v>
      </c>
      <c r="I343" s="3" t="n">
        <v>681326.3852803148</v>
      </c>
      <c r="J343" s="4" t="n">
        <v>0.0418179608466448</v>
      </c>
      <c r="K343">
        <f>IF(AND(I343&gt;0,J343&gt;=Assumptions!$B$4),1,0)</f>
        <v/>
      </c>
      <c r="L343" s="3">
        <f>I343*K343</f>
        <v/>
      </c>
      <c r="M343">
        <f>SUM($K$2:K343)</f>
        <v/>
      </c>
    </row>
    <row r="344">
      <c r="A344" t="inlineStr">
        <is>
          <t>010029</t>
        </is>
      </c>
      <c r="B344" t="inlineStr">
        <is>
          <t>East Alabama Medical Center</t>
        </is>
      </c>
      <c r="C344" t="inlineStr">
        <is>
          <t>AL</t>
        </is>
      </c>
      <c r="D344" t="inlineStr">
        <is>
          <t>Metropolitan</t>
        </is>
      </c>
      <c r="E344" s="5" t="n">
        <v>1190</v>
      </c>
      <c r="F344" s="4" t="n">
        <v>0.5394957983193277</v>
      </c>
      <c r="G344" s="4" t="n">
        <v>0.6045606936794276</v>
      </c>
      <c r="H344" s="3" t="n">
        <v>18641198.63915472</v>
      </c>
      <c r="I344" s="3" t="n">
        <v>681103.8137672432</v>
      </c>
      <c r="J344" s="4" t="n">
        <v>0.0365375546364612</v>
      </c>
      <c r="K344">
        <f>IF(AND(I344&gt;0,J344&gt;=Assumptions!$B$4),1,0)</f>
        <v/>
      </c>
      <c r="L344" s="3">
        <f>I344*K344</f>
        <v/>
      </c>
      <c r="M344">
        <f>SUM($K$2:K344)</f>
        <v/>
      </c>
    </row>
    <row r="345">
      <c r="A345" t="inlineStr">
        <is>
          <t>100030</t>
        </is>
      </c>
      <c r="B345" t="inlineStr">
        <is>
          <t>Orlando Health-Health Central Hospital</t>
        </is>
      </c>
      <c r="C345" t="inlineStr">
        <is>
          <t>FL</t>
        </is>
      </c>
      <c r="D345" t="inlineStr">
        <is>
          <t>Metropolitan</t>
        </is>
      </c>
      <c r="E345" s="5" t="n">
        <v>1770</v>
      </c>
      <c r="F345" s="4" t="n">
        <v>0.5570621468926553</v>
      </c>
      <c r="G345" s="4" t="n">
        <v>0.5994792157785507</v>
      </c>
      <c r="H345" s="3" t="n">
        <v>23858312.57315191</v>
      </c>
      <c r="I345" s="3" t="n">
        <v>679303.835921865</v>
      </c>
      <c r="J345" s="4" t="n">
        <v>0.028472417478774</v>
      </c>
      <c r="K345">
        <f>IF(AND(I345&gt;0,J345&gt;=Assumptions!$B$4),1,0)</f>
        <v/>
      </c>
      <c r="L345" s="3">
        <f>I345*K345</f>
        <v/>
      </c>
      <c r="M345">
        <f>SUM($K$2:K345)</f>
        <v/>
      </c>
    </row>
    <row r="346">
      <c r="A346" t="inlineStr">
        <is>
          <t>420065</t>
        </is>
      </c>
      <c r="B346" t="inlineStr">
        <is>
          <t>Bon Secours-St Francis Xavier Hospital</t>
        </is>
      </c>
      <c r="C346" t="inlineStr">
        <is>
          <t>SC</t>
        </is>
      </c>
      <c r="D346" t="inlineStr">
        <is>
          <t>Metropolitan</t>
        </is>
      </c>
      <c r="E346" s="5" t="n">
        <v>1245</v>
      </c>
      <c r="F346" s="4" t="n">
        <v>0.5164658634538153</v>
      </c>
      <c r="G346" s="4" t="n">
        <v>0.5271724715480428</v>
      </c>
      <c r="H346" s="3" t="n">
        <v>22199919.62307281</v>
      </c>
      <c r="I346" s="3" t="n">
        <v>675548.1846383587</v>
      </c>
      <c r="J346" s="4" t="n">
        <v>0.030430208582208</v>
      </c>
      <c r="K346">
        <f>IF(AND(I346&gt;0,J346&gt;=Assumptions!$B$4),1,0)</f>
        <v/>
      </c>
      <c r="L346" s="3">
        <f>I346*K346</f>
        <v/>
      </c>
      <c r="M346">
        <f>SUM($K$2:K346)</f>
        <v/>
      </c>
    </row>
    <row r="347">
      <c r="A347" t="inlineStr">
        <is>
          <t>670068</t>
        </is>
      </c>
      <c r="B347" t="inlineStr">
        <is>
          <t>Texas Health Presbyterian Hospital Flower Mound</t>
        </is>
      </c>
      <c r="C347" t="inlineStr">
        <is>
          <t>TX</t>
        </is>
      </c>
      <c r="D347" t="inlineStr">
        <is>
          <t>Metropolitan</t>
        </is>
      </c>
      <c r="E347" s="5" t="n">
        <v>760</v>
      </c>
      <c r="F347" s="4" t="n">
        <v>0.5236842105263158</v>
      </c>
      <c r="G347" s="4" t="n">
        <v>0.559312529040493</v>
      </c>
      <c r="H347" s="3" t="n">
        <v>13781588.00058696</v>
      </c>
      <c r="I347" s="3" t="n">
        <v>674536.7122312505</v>
      </c>
      <c r="J347" s="4" t="n">
        <v>0.0489447741582843</v>
      </c>
      <c r="K347">
        <f>IF(AND(I347&gt;0,J347&gt;=Assumptions!$B$4),1,0)</f>
        <v/>
      </c>
      <c r="L347" s="3">
        <f>I347*K347</f>
        <v/>
      </c>
      <c r="M347">
        <f>SUM($K$2:K347)</f>
        <v/>
      </c>
    </row>
    <row r="348">
      <c r="A348" t="inlineStr">
        <is>
          <t>360070</t>
        </is>
      </c>
      <c r="B348" t="inlineStr">
        <is>
          <t>Mercy Medical Center</t>
        </is>
      </c>
      <c r="C348" t="inlineStr">
        <is>
          <t>OH</t>
        </is>
      </c>
      <c r="D348" t="inlineStr">
        <is>
          <t>Metropolitan</t>
        </is>
      </c>
      <c r="E348" s="5" t="n">
        <v>1710</v>
      </c>
      <c r="F348" s="4" t="n">
        <v>0.6</v>
      </c>
      <c r="G348" s="4" t="n">
        <v>0.6181483569890068</v>
      </c>
      <c r="H348" s="3" t="n">
        <v>25525364.54437715</v>
      </c>
      <c r="I348" s="3" t="n">
        <v>672982.6435755789</v>
      </c>
      <c r="J348" s="4" t="n">
        <v>0.0263652510194541</v>
      </c>
      <c r="K348">
        <f>IF(AND(I348&gt;0,J348&gt;=Assumptions!$B$4),1,0)</f>
        <v/>
      </c>
      <c r="L348" s="3">
        <f>I348*K348</f>
        <v/>
      </c>
      <c r="M348">
        <f>SUM($K$2:K348)</f>
        <v/>
      </c>
    </row>
    <row r="349">
      <c r="A349" t="inlineStr">
        <is>
          <t>310048</t>
        </is>
      </c>
      <c r="B349" t="inlineStr">
        <is>
          <t>Robert Wood Johnson University Hospital Somerset</t>
        </is>
      </c>
      <c r="C349" t="inlineStr">
        <is>
          <t>NJ</t>
        </is>
      </c>
      <c r="D349" t="inlineStr">
        <is>
          <t>Metropolitan</t>
        </is>
      </c>
      <c r="E349" s="5" t="n">
        <v>3073</v>
      </c>
      <c r="F349" s="4" t="n">
        <v>0.5759843800846078</v>
      </c>
      <c r="G349" s="4" t="n">
        <v>0.6046000895434984</v>
      </c>
      <c r="H349" s="3" t="n">
        <v>43730753.5426274</v>
      </c>
      <c r="I349" s="3" t="n">
        <v>666730.5215165764</v>
      </c>
      <c r="J349" s="4" t="n">
        <v>0.0152462618982009</v>
      </c>
      <c r="K349">
        <f>IF(AND(I349&gt;0,J349&gt;=Assumptions!$B$4),1,0)</f>
        <v/>
      </c>
      <c r="L349" s="3">
        <f>I349*K349</f>
        <v/>
      </c>
      <c r="M349">
        <f>SUM($K$2:K349)</f>
        <v/>
      </c>
    </row>
    <row r="350">
      <c r="A350" t="inlineStr">
        <is>
          <t>100191</t>
        </is>
      </c>
      <c r="B350" t="inlineStr">
        <is>
          <t>Hca Florida Trinity Hospital</t>
        </is>
      </c>
      <c r="C350" t="inlineStr">
        <is>
          <t>FL</t>
        </is>
      </c>
      <c r="D350" t="inlineStr">
        <is>
          <t>Metropolitan</t>
        </is>
      </c>
      <c r="E350" s="5" t="n">
        <v>1527</v>
      </c>
      <c r="F350" s="4" t="n">
        <v>0.5520628683693517</v>
      </c>
      <c r="G350" s="4" t="n">
        <v>0.5946777567197816</v>
      </c>
      <c r="H350" s="3" t="n">
        <v>21716625.66367511</v>
      </c>
      <c r="I350" s="3" t="n">
        <v>658669.6135082841</v>
      </c>
      <c r="J350" s="4" t="n">
        <v>0.0303302006356367</v>
      </c>
      <c r="K350">
        <f>IF(AND(I350&gt;0,J350&gt;=Assumptions!$B$4),1,0)</f>
        <v/>
      </c>
      <c r="L350" s="3">
        <f>I350*K350</f>
        <v/>
      </c>
      <c r="M350">
        <f>SUM($K$2:K350)</f>
        <v/>
      </c>
    </row>
    <row r="351">
      <c r="A351" t="inlineStr">
        <is>
          <t>050197</t>
        </is>
      </c>
      <c r="B351" t="inlineStr">
        <is>
          <t>Sequoia Hospital</t>
        </is>
      </c>
      <c r="C351" t="inlineStr">
        <is>
          <t>CA</t>
        </is>
      </c>
      <c r="D351" t="inlineStr">
        <is>
          <t>Metropolitan</t>
        </is>
      </c>
      <c r="E351" s="5" t="n">
        <v>785</v>
      </c>
      <c r="F351" s="4" t="n">
        <v>0.5337579617834395</v>
      </c>
      <c r="G351" s="4" t="n">
        <v>0.578718624642941</v>
      </c>
      <c r="H351" s="3" t="n">
        <v>15483067.3862364</v>
      </c>
      <c r="I351" s="3" t="n">
        <v>655694.7551664524</v>
      </c>
      <c r="J351" s="4" t="n">
        <v>0.0423491507728842</v>
      </c>
      <c r="K351">
        <f>IF(AND(I351&gt;0,J351&gt;=Assumptions!$B$4),1,0)</f>
        <v/>
      </c>
      <c r="L351" s="3">
        <f>I351*K351</f>
        <v/>
      </c>
      <c r="M351">
        <f>SUM($K$2:K351)</f>
        <v/>
      </c>
    </row>
    <row r="352">
      <c r="A352" t="inlineStr">
        <is>
          <t>310064</t>
        </is>
      </c>
      <c r="B352" t="inlineStr">
        <is>
          <t>Atlanticare Regional Medical Center - City Campus</t>
        </is>
      </c>
      <c r="C352" t="inlineStr">
        <is>
          <t>NJ</t>
        </is>
      </c>
      <c r="D352" t="inlineStr">
        <is>
          <t>Metropolitan</t>
        </is>
      </c>
      <c r="E352" s="5" t="n">
        <v>4823</v>
      </c>
      <c r="F352" s="4" t="n">
        <v>0.5324486833920796</v>
      </c>
      <c r="G352" s="4" t="n">
        <v>0.5435213291806957</v>
      </c>
      <c r="H352" s="3" t="n">
        <v>74148434.82740569</v>
      </c>
      <c r="I352" s="3" t="n">
        <v>654673.8290708661</v>
      </c>
      <c r="J352" s="4" t="n">
        <v>0.008829233288534501</v>
      </c>
      <c r="K352">
        <f>IF(AND(I352&gt;0,J352&gt;=Assumptions!$B$4),1,0)</f>
        <v/>
      </c>
      <c r="L352" s="3">
        <f>I352*K352</f>
        <v/>
      </c>
      <c r="M352">
        <f>SUM($K$2:K352)</f>
        <v/>
      </c>
    </row>
    <row r="353">
      <c r="A353" t="inlineStr">
        <is>
          <t>110005</t>
        </is>
      </c>
      <c r="B353" t="inlineStr">
        <is>
          <t>Northside Hospital Forsyth</t>
        </is>
      </c>
      <c r="C353" t="inlineStr">
        <is>
          <t>GA</t>
        </is>
      </c>
      <c r="D353" t="inlineStr">
        <is>
          <t>Metropolitan</t>
        </is>
      </c>
      <c r="E353" s="5" t="n">
        <v>3183</v>
      </c>
      <c r="F353" s="4" t="n">
        <v>0.529688972667295</v>
      </c>
      <c r="G353" s="4" t="n">
        <v>0.5288782900599062</v>
      </c>
      <c r="H353" s="3" t="n">
        <v>47834730.15183856</v>
      </c>
      <c r="I353" s="3" t="n">
        <v>652711.3365731016</v>
      </c>
      <c r="J353" s="4" t="n">
        <v>0.0136451347065457</v>
      </c>
      <c r="K353">
        <f>IF(AND(I353&gt;0,J353&gt;=Assumptions!$B$4),1,0)</f>
        <v/>
      </c>
      <c r="L353" s="3">
        <f>I353*K353</f>
        <v/>
      </c>
      <c r="M353">
        <f>SUM($K$2:K353)</f>
        <v/>
      </c>
    </row>
    <row r="354">
      <c r="A354" t="inlineStr">
        <is>
          <t>390044</t>
        </is>
      </c>
      <c r="B354" t="inlineStr">
        <is>
          <t>Reading Hospital</t>
        </is>
      </c>
      <c r="C354" t="inlineStr">
        <is>
          <t>PA</t>
        </is>
      </c>
      <c r="D354" t="inlineStr">
        <is>
          <t>Metropolitan</t>
        </is>
      </c>
      <c r="E354" s="5" t="n">
        <v>6038</v>
      </c>
      <c r="F354" s="4" t="n">
        <v>0.5402451142762504</v>
      </c>
      <c r="G354" s="4" t="n">
        <v>0.5463514371382187</v>
      </c>
      <c r="H354" s="3" t="n">
        <v>92055904.33161923</v>
      </c>
      <c r="I354" s="3" t="n">
        <v>651578.0616464466</v>
      </c>
      <c r="J354" s="4" t="n">
        <v>0.0070780692056342</v>
      </c>
      <c r="K354">
        <f>IF(AND(I354&gt;0,J354&gt;=Assumptions!$B$4),1,0)</f>
        <v/>
      </c>
      <c r="L354" s="3">
        <f>I354*K354</f>
        <v/>
      </c>
      <c r="M354">
        <f>SUM($K$2:K354)</f>
        <v/>
      </c>
    </row>
    <row r="355">
      <c r="A355" t="inlineStr">
        <is>
          <t>520207</t>
        </is>
      </c>
      <c r="B355" t="inlineStr">
        <is>
          <t>Aurora Medical Center</t>
        </is>
      </c>
      <c r="C355" t="inlineStr">
        <is>
          <t>WI</t>
        </is>
      </c>
      <c r="D355" t="inlineStr">
        <is>
          <t>Metropolitan</t>
        </is>
      </c>
      <c r="E355" s="5" t="n">
        <v>1256</v>
      </c>
      <c r="F355" s="4" t="n">
        <v>0.5533439490445859</v>
      </c>
      <c r="G355" s="4" t="n">
        <v>0.5914447328680198</v>
      </c>
      <c r="H355" s="3" t="n">
        <v>18817434.81803603</v>
      </c>
      <c r="I355" s="3" t="n">
        <v>646972.6475169957</v>
      </c>
      <c r="J355" s="4" t="n">
        <v>0.0343815537969547</v>
      </c>
      <c r="K355">
        <f>IF(AND(I355&gt;0,J355&gt;=Assumptions!$B$4),1,0)</f>
        <v/>
      </c>
      <c r="L355" s="3">
        <f>I355*K355</f>
        <v/>
      </c>
      <c r="M355">
        <f>SUM($K$2:K355)</f>
        <v/>
      </c>
    </row>
    <row r="356">
      <c r="A356" t="inlineStr">
        <is>
          <t>270003</t>
        </is>
      </c>
      <c r="B356" t="inlineStr">
        <is>
          <t>St Peters Health</t>
        </is>
      </c>
      <c r="C356" t="inlineStr">
        <is>
          <t>MT</t>
        </is>
      </c>
      <c r="D356" t="inlineStr">
        <is>
          <t>Micropolitan</t>
        </is>
      </c>
      <c r="E356" s="5" t="n">
        <v>909</v>
      </c>
      <c r="F356" s="4" t="n">
        <v>0.517051705170517</v>
      </c>
      <c r="G356" s="4" t="n">
        <v>0.6215796056742654</v>
      </c>
      <c r="H356" s="3" t="n">
        <v>12040859.21313026</v>
      </c>
      <c r="I356" s="3" t="n">
        <v>646267.5429303721</v>
      </c>
      <c r="J356" s="4" t="n">
        <v>0.0536728759543698</v>
      </c>
      <c r="K356">
        <f>IF(AND(I356&gt;0,J356&gt;=Assumptions!$B$4),1,0)</f>
        <v/>
      </c>
      <c r="L356" s="3">
        <f>I356*K356</f>
        <v/>
      </c>
      <c r="M356">
        <f>SUM($K$2:K356)</f>
        <v/>
      </c>
    </row>
    <row r="357">
      <c r="A357" t="inlineStr">
        <is>
          <t>180012</t>
        </is>
      </c>
      <c r="B357" t="inlineStr">
        <is>
          <t>Baptist Health Hardin</t>
        </is>
      </c>
      <c r="C357" t="inlineStr">
        <is>
          <t>KY</t>
        </is>
      </c>
      <c r="D357" t="inlineStr">
        <is>
          <t>Metropolitan</t>
        </is>
      </c>
      <c r="E357" s="5" t="n">
        <v>2292</v>
      </c>
      <c r="F357" s="4" t="n">
        <v>0.5981675392670157</v>
      </c>
      <c r="G357" s="4" t="n">
        <v>0.6297003059634461</v>
      </c>
      <c r="H357" s="3" t="n">
        <v>32724599.6170219</v>
      </c>
      <c r="I357" s="3" t="n">
        <v>644238.232490059</v>
      </c>
      <c r="J357" s="4" t="n">
        <v>0.0196866650785531</v>
      </c>
      <c r="K357">
        <f>IF(AND(I357&gt;0,J357&gt;=Assumptions!$B$4),1,0)</f>
        <v/>
      </c>
      <c r="L357" s="3">
        <f>I357*K357</f>
        <v/>
      </c>
      <c r="M357">
        <f>SUM($K$2:K357)</f>
        <v/>
      </c>
    </row>
    <row r="358">
      <c r="A358" t="inlineStr">
        <is>
          <t>390222</t>
        </is>
      </c>
      <c r="B358" t="inlineStr">
        <is>
          <t>Riddle Memorial Hospital</t>
        </is>
      </c>
      <c r="C358" t="inlineStr">
        <is>
          <t>PA</t>
        </is>
      </c>
      <c r="D358" t="inlineStr">
        <is>
          <t>Metropolitan</t>
        </is>
      </c>
      <c r="E358" s="5" t="n">
        <v>2376</v>
      </c>
      <c r="F358" s="4" t="n">
        <v>0.5635521885521886</v>
      </c>
      <c r="G358" s="4" t="n">
        <v>0.6048764343255367</v>
      </c>
      <c r="H358" s="3" t="n">
        <v>36018972.11904395</v>
      </c>
      <c r="I358" s="3" t="n">
        <v>639820.2144246325</v>
      </c>
      <c r="J358" s="4" t="n">
        <v>0.0177634223516985</v>
      </c>
      <c r="K358">
        <f>IF(AND(I358&gt;0,J358&gt;=Assumptions!$B$4),1,0)</f>
        <v/>
      </c>
      <c r="L358" s="3">
        <f>I358*K358</f>
        <v/>
      </c>
      <c r="M358">
        <f>SUM($K$2:K358)</f>
        <v/>
      </c>
    </row>
    <row r="359">
      <c r="A359" t="inlineStr">
        <is>
          <t>360276</t>
        </is>
      </c>
      <c r="B359" t="inlineStr">
        <is>
          <t>Mh St Elizabeth Boardman Hospital</t>
        </is>
      </c>
      <c r="C359" t="inlineStr">
        <is>
          <t>OH</t>
        </is>
      </c>
      <c r="D359" t="inlineStr">
        <is>
          <t>Metropolitan</t>
        </is>
      </c>
      <c r="E359" s="5" t="n">
        <v>2010</v>
      </c>
      <c r="F359" s="4" t="n">
        <v>0.5706467661691542</v>
      </c>
      <c r="G359" s="4" t="n">
        <v>0.6190542110078836</v>
      </c>
      <c r="H359" s="3" t="n">
        <v>26595482.04472523</v>
      </c>
      <c r="I359" s="3" t="n">
        <v>639083.7857626639</v>
      </c>
      <c r="J359" s="4" t="n">
        <v>0.0240297876416726</v>
      </c>
      <c r="K359">
        <f>IF(AND(I359&gt;0,J359&gt;=Assumptions!$B$4),1,0)</f>
        <v/>
      </c>
      <c r="L359" s="3">
        <f>I359*K359</f>
        <v/>
      </c>
      <c r="M359">
        <f>SUM($K$2:K359)</f>
        <v/>
      </c>
    </row>
    <row r="360">
      <c r="A360" t="inlineStr">
        <is>
          <t>260141</t>
        </is>
      </c>
      <c r="B360" t="inlineStr">
        <is>
          <t>University Of Missouri Health Care</t>
        </is>
      </c>
      <c r="C360" t="inlineStr">
        <is>
          <t>MO</t>
        </is>
      </c>
      <c r="D360" t="inlineStr">
        <is>
          <t>Metropolitan</t>
        </is>
      </c>
      <c r="E360" s="5" t="n">
        <v>3044</v>
      </c>
      <c r="F360" s="4" t="n">
        <v>0.4612352168199737</v>
      </c>
      <c r="G360" s="4" t="n">
        <v>0.5124125629227512</v>
      </c>
      <c r="H360" s="3" t="n">
        <v>52707149.24500453</v>
      </c>
      <c r="I360" s="3" t="n">
        <v>638073.3609455377</v>
      </c>
      <c r="J360" s="4" t="n">
        <v>0.0121060116148477</v>
      </c>
      <c r="K360">
        <f>IF(AND(I360&gt;0,J360&gt;=Assumptions!$B$4),1,0)</f>
        <v/>
      </c>
      <c r="L360" s="3">
        <f>I360*K360</f>
        <v/>
      </c>
      <c r="M360">
        <f>SUM($K$2:K360)</f>
        <v/>
      </c>
    </row>
    <row r="361">
      <c r="A361" t="inlineStr">
        <is>
          <t>500014</t>
        </is>
      </c>
      <c r="B361" t="inlineStr">
        <is>
          <t>Providence Regional Medical Center Everett</t>
        </is>
      </c>
      <c r="C361" t="inlineStr">
        <is>
          <t>WA</t>
        </is>
      </c>
      <c r="D361" t="inlineStr">
        <is>
          <t>Metropolitan</t>
        </is>
      </c>
      <c r="E361" s="5" t="n">
        <v>2966</v>
      </c>
      <c r="F361" s="4" t="n">
        <v>0.5283209710047202</v>
      </c>
      <c r="G361" s="4" t="n">
        <v>0.5474169690828568</v>
      </c>
      <c r="H361" s="3" t="n">
        <v>51987626.62378237</v>
      </c>
      <c r="I361" s="3" t="n">
        <v>637741.4700672179</v>
      </c>
      <c r="J361" s="4" t="n">
        <v>0.012267178009151</v>
      </c>
      <c r="K361">
        <f>IF(AND(I361&gt;0,J361&gt;=Assumptions!$B$4),1,0)</f>
        <v/>
      </c>
      <c r="L361" s="3">
        <f>I361*K361</f>
        <v/>
      </c>
      <c r="M361">
        <f>SUM($K$2:K361)</f>
        <v/>
      </c>
    </row>
    <row r="362">
      <c r="A362" t="inlineStr">
        <is>
          <t>070031</t>
        </is>
      </c>
      <c r="B362" t="inlineStr">
        <is>
          <t>Griffin Hospital</t>
        </is>
      </c>
      <c r="C362" t="inlineStr">
        <is>
          <t>CT</t>
        </is>
      </c>
      <c r="D362" t="inlineStr">
        <is>
          <t>Metropolitan</t>
        </is>
      </c>
      <c r="E362" s="5" t="n">
        <v>574</v>
      </c>
      <c r="F362" s="4" t="n">
        <v>0.3815331010452961</v>
      </c>
      <c r="G362" s="4" t="n">
        <v>0.5891464151191232</v>
      </c>
      <c r="H362" s="3" t="n">
        <v>6718979.015688</v>
      </c>
      <c r="I362" s="3" t="n">
        <v>635583.7487870818</v>
      </c>
      <c r="J362" s="4" t="n">
        <v>0.0945952870671378</v>
      </c>
      <c r="K362">
        <f>IF(AND(I362&gt;0,J362&gt;=Assumptions!$B$4),1,0)</f>
        <v/>
      </c>
      <c r="L362" s="3">
        <f>I362*K362</f>
        <v/>
      </c>
      <c r="M362">
        <f>SUM($K$2:K362)</f>
        <v/>
      </c>
    </row>
    <row r="363">
      <c r="A363" t="inlineStr">
        <is>
          <t>220030</t>
        </is>
      </c>
      <c r="B363" t="inlineStr">
        <is>
          <t>Baystate Wing Hospital And Medical Centers</t>
        </is>
      </c>
      <c r="C363" t="inlineStr">
        <is>
          <t>MA</t>
        </is>
      </c>
      <c r="D363" t="inlineStr">
        <is>
          <t>Metropolitan</t>
        </is>
      </c>
      <c r="E363" s="5" t="n">
        <v>947</v>
      </c>
      <c r="F363" s="4" t="n">
        <v>0.587117212249208</v>
      </c>
      <c r="G363" s="4" t="n">
        <v>0.6996902491402989</v>
      </c>
      <c r="H363" s="3" t="n">
        <v>11676698.53146923</v>
      </c>
      <c r="I363" s="3" t="n">
        <v>631628.5457653273</v>
      </c>
      <c r="J363" s="4" t="n">
        <v>0.0540930764002393</v>
      </c>
      <c r="K363">
        <f>IF(AND(I363&gt;0,J363&gt;=Assumptions!$B$4),1,0)</f>
        <v/>
      </c>
      <c r="L363" s="3">
        <f>I363*K363</f>
        <v/>
      </c>
      <c r="M363">
        <f>SUM($K$2:K363)</f>
        <v/>
      </c>
    </row>
    <row r="364">
      <c r="A364" t="inlineStr">
        <is>
          <t>010104</t>
        </is>
      </c>
      <c r="B364" t="inlineStr">
        <is>
          <t>Grandview Medical Center</t>
        </is>
      </c>
      <c r="C364" t="inlineStr">
        <is>
          <t>AL</t>
        </is>
      </c>
      <c r="D364" t="inlineStr">
        <is>
          <t>Metropolitan</t>
        </is>
      </c>
      <c r="E364" s="5" t="n">
        <v>3579</v>
      </c>
      <c r="F364" s="4" t="n">
        <v>0.4847722827605476</v>
      </c>
      <c r="G364" s="4" t="n">
        <v>0.4957102780147803</v>
      </c>
      <c r="H364" s="3" t="n">
        <v>68232388.2344784</v>
      </c>
      <c r="I364" s="3" t="n">
        <v>630527.3630184084</v>
      </c>
      <c r="J364" s="4" t="n">
        <v>0.0092408807508191</v>
      </c>
      <c r="K364">
        <f>IF(AND(I364&gt;0,J364&gt;=Assumptions!$B$4),1,0)</f>
        <v/>
      </c>
      <c r="L364" s="3">
        <f>I364*K364</f>
        <v/>
      </c>
      <c r="M364">
        <f>SUM($K$2:K364)</f>
        <v/>
      </c>
    </row>
    <row r="365">
      <c r="A365" t="inlineStr">
        <is>
          <t>050100</t>
        </is>
      </c>
      <c r="B365" t="inlineStr">
        <is>
          <t>Sharp Memorial Hospital</t>
        </is>
      </c>
      <c r="C365" t="inlineStr">
        <is>
          <t>CA</t>
        </is>
      </c>
      <c r="D365" t="inlineStr">
        <is>
          <t>Metropolitan</t>
        </is>
      </c>
      <c r="E365" s="5" t="n">
        <v>3468</v>
      </c>
      <c r="F365" s="4" t="n">
        <v>0.4945213379469435</v>
      </c>
      <c r="G365" s="4" t="n">
        <v>0.526338669134802</v>
      </c>
      <c r="H365" s="3" t="n">
        <v>53493040.25131715</v>
      </c>
      <c r="I365" s="3" t="n">
        <v>629935.1329039782</v>
      </c>
      <c r="J365" s="4" t="n">
        <v>0.0117760203933906</v>
      </c>
      <c r="K365">
        <f>IF(AND(I365&gt;0,J365&gt;=Assumptions!$B$4),1,0)</f>
        <v/>
      </c>
      <c r="L365" s="3">
        <f>I365*K365</f>
        <v/>
      </c>
      <c r="M365">
        <f>SUM($K$2:K365)</f>
        <v/>
      </c>
    </row>
    <row r="366">
      <c r="A366" t="inlineStr">
        <is>
          <t>440053</t>
        </is>
      </c>
      <c r="B366" t="inlineStr">
        <is>
          <t>Ascension Saint Thomas Rutherford Hospital</t>
        </is>
      </c>
      <c r="C366" t="inlineStr">
        <is>
          <t>TN</t>
        </is>
      </c>
      <c r="D366" t="inlineStr">
        <is>
          <t>Metropolitan</t>
        </is>
      </c>
      <c r="E366" s="5" t="n">
        <v>3422</v>
      </c>
      <c r="F366" s="4" t="n">
        <v>0.5625365283459965</v>
      </c>
      <c r="G366" s="4" t="n">
        <v>0.5727826963658191</v>
      </c>
      <c r="H366" s="3" t="n">
        <v>51961527.99065904</v>
      </c>
      <c r="I366" s="3" t="n">
        <v>627237.4585600421</v>
      </c>
      <c r="J366" s="4" t="n">
        <v>0.0120711896438611</v>
      </c>
      <c r="K366">
        <f>IF(AND(I366&gt;0,J366&gt;=Assumptions!$B$4),1,0)</f>
        <v/>
      </c>
      <c r="L366" s="3">
        <f>I366*K366</f>
        <v/>
      </c>
      <c r="M366">
        <f>SUM($K$2:K366)</f>
        <v/>
      </c>
    </row>
    <row r="367">
      <c r="A367" t="inlineStr">
        <is>
          <t>140280</t>
        </is>
      </c>
      <c r="B367" t="inlineStr">
        <is>
          <t>Trinity Rock Island</t>
        </is>
      </c>
      <c r="C367" t="inlineStr">
        <is>
          <t>IL</t>
        </is>
      </c>
      <c r="D367" t="inlineStr">
        <is>
          <t>Metropolitan</t>
        </is>
      </c>
      <c r="E367" s="5" t="n">
        <v>1444</v>
      </c>
      <c r="F367" s="4" t="n">
        <v>0.5526315789473685</v>
      </c>
      <c r="G367" s="4" t="n">
        <v>0.5836602760776174</v>
      </c>
      <c r="H367" s="3" t="n">
        <v>23634539.10786184</v>
      </c>
      <c r="I367" s="3" t="n">
        <v>626304.3569983728</v>
      </c>
      <c r="J367" s="4" t="n">
        <v>0.0264995375683056</v>
      </c>
      <c r="K367">
        <f>IF(AND(I367&gt;0,J367&gt;=Assumptions!$B$4),1,0)</f>
        <v/>
      </c>
      <c r="L367" s="3">
        <f>I367*K367</f>
        <v/>
      </c>
      <c r="M367">
        <f>SUM($K$2:K367)</f>
        <v/>
      </c>
    </row>
    <row r="368">
      <c r="A368" t="inlineStr">
        <is>
          <t>210051</t>
        </is>
      </c>
      <c r="B368" t="inlineStr">
        <is>
          <t>Luminis Health Doctors Community Medical Ctr, Inc</t>
        </is>
      </c>
      <c r="C368" t="inlineStr">
        <is>
          <t>MD</t>
        </is>
      </c>
      <c r="D368" t="inlineStr">
        <is>
          <t>Metropolitan</t>
        </is>
      </c>
      <c r="E368" s="5" t="n">
        <v>2440</v>
      </c>
      <c r="F368" s="4" t="n">
        <v>0.5663934426229508</v>
      </c>
      <c r="G368" s="4" t="n">
        <v>0.6185956012082634</v>
      </c>
      <c r="H368" s="3" t="n">
        <v>32457074.16358304</v>
      </c>
      <c r="I368" s="3" t="n">
        <v>615796.4263762943</v>
      </c>
      <c r="J368" s="4" t="n">
        <v>0.0189726413191987</v>
      </c>
      <c r="K368">
        <f>IF(AND(I368&gt;0,J368&gt;=Assumptions!$B$4),1,0)</f>
        <v/>
      </c>
      <c r="L368" s="3">
        <f>I368*K368</f>
        <v/>
      </c>
      <c r="M368">
        <f>SUM($K$2:K368)</f>
        <v/>
      </c>
    </row>
    <row r="369">
      <c r="A369" t="inlineStr">
        <is>
          <t>390330</t>
        </is>
      </c>
      <c r="B369" t="inlineStr">
        <is>
          <t>St Luke's Hospital - Monroe Campus</t>
        </is>
      </c>
      <c r="C369" t="inlineStr">
        <is>
          <t>PA</t>
        </is>
      </c>
      <c r="D369" t="inlineStr">
        <is>
          <t>Metropolitan</t>
        </is>
      </c>
      <c r="E369" s="5" t="n">
        <v>1554</v>
      </c>
      <c r="F369" s="4" t="n">
        <v>0.5444015444015444</v>
      </c>
      <c r="G369" s="4" t="n">
        <v>0.6235768817312035</v>
      </c>
      <c r="H369" s="3" t="n">
        <v>19797776.25121718</v>
      </c>
      <c r="I369" s="3" t="n">
        <v>613444.4722796492</v>
      </c>
      <c r="J369" s="4" t="n">
        <v>0.0309855240556087</v>
      </c>
      <c r="K369">
        <f>IF(AND(I369&gt;0,J369&gt;=Assumptions!$B$4),1,0)</f>
        <v/>
      </c>
      <c r="L369" s="3">
        <f>I369*K369</f>
        <v/>
      </c>
      <c r="M369">
        <f>SUM($K$2:K369)</f>
        <v/>
      </c>
    </row>
    <row r="370">
      <c r="A370" t="inlineStr">
        <is>
          <t>050007</t>
        </is>
      </c>
      <c r="B370" t="inlineStr">
        <is>
          <t>Mills-Peninsula Medical Center</t>
        </is>
      </c>
      <c r="C370" t="inlineStr">
        <is>
          <t>CA</t>
        </is>
      </c>
      <c r="D370" t="inlineStr">
        <is>
          <t>Metropolitan</t>
        </is>
      </c>
      <c r="E370" s="5" t="n">
        <v>2264</v>
      </c>
      <c r="F370" s="4" t="n">
        <v>0.590547703180212</v>
      </c>
      <c r="G370" s="4" t="n">
        <v>0.6182204413537935</v>
      </c>
      <c r="H370" s="3" t="n">
        <v>37852642.04000262</v>
      </c>
      <c r="I370" s="3" t="n">
        <v>612551.3042928725</v>
      </c>
      <c r="J370" s="4" t="n">
        <v>0.016182524423144</v>
      </c>
      <c r="K370">
        <f>IF(AND(I370&gt;0,J370&gt;=Assumptions!$B$4),1,0)</f>
        <v/>
      </c>
      <c r="L370" s="3">
        <f>I370*K370</f>
        <v/>
      </c>
      <c r="M370">
        <f>SUM($K$2:K370)</f>
        <v/>
      </c>
    </row>
    <row r="371">
      <c r="A371" t="inlineStr">
        <is>
          <t>310057</t>
        </is>
      </c>
      <c r="B371" t="inlineStr">
        <is>
          <t>Virtua Mount Holly Hospital</t>
        </is>
      </c>
      <c r="C371" t="inlineStr">
        <is>
          <t>NJ</t>
        </is>
      </c>
      <c r="D371" t="inlineStr">
        <is>
          <t>Metropolitan</t>
        </is>
      </c>
      <c r="E371" s="5" t="n">
        <v>2516</v>
      </c>
      <c r="F371" s="4" t="n">
        <v>0.4976152623211446</v>
      </c>
      <c r="G371" s="4" t="n">
        <v>0.5531843392420079</v>
      </c>
      <c r="H371" s="3" t="n">
        <v>33133284.05068884</v>
      </c>
      <c r="I371" s="3" t="n">
        <v>612326.7430746965</v>
      </c>
      <c r="J371" s="4" t="n">
        <v>0.0184807138989884</v>
      </c>
      <c r="K371">
        <f>IF(AND(I371&gt;0,J371&gt;=Assumptions!$B$4),1,0)</f>
        <v/>
      </c>
      <c r="L371" s="3">
        <f>I371*K371</f>
        <v/>
      </c>
      <c r="M371">
        <f>SUM($K$2:K371)</f>
        <v/>
      </c>
    </row>
    <row r="372">
      <c r="A372" t="inlineStr">
        <is>
          <t>140164</t>
        </is>
      </c>
      <c r="B372" t="inlineStr">
        <is>
          <t>Memorial Hospital Of Carbondale</t>
        </is>
      </c>
      <c r="C372" t="inlineStr">
        <is>
          <t>IL</t>
        </is>
      </c>
      <c r="D372" t="inlineStr">
        <is>
          <t>Metropolitan</t>
        </is>
      </c>
      <c r="E372" s="5" t="n">
        <v>1315</v>
      </c>
      <c r="F372" s="4" t="n">
        <v>0.5178707224334601</v>
      </c>
      <c r="G372" s="4" t="n">
        <v>0.5845836251388964</v>
      </c>
      <c r="H372" s="3" t="n">
        <v>20549618.29139356</v>
      </c>
      <c r="I372" s="3" t="n">
        <v>610351.6475804262</v>
      </c>
      <c r="J372" s="4" t="n">
        <v>0.0297013617929851</v>
      </c>
      <c r="K372">
        <f>IF(AND(I372&gt;0,J372&gt;=Assumptions!$B$4),1,0)</f>
        <v/>
      </c>
      <c r="L372" s="3">
        <f>I372*K372</f>
        <v/>
      </c>
      <c r="M372">
        <f>SUM($K$2:K372)</f>
        <v/>
      </c>
    </row>
    <row r="373">
      <c r="A373" t="inlineStr">
        <is>
          <t>390137</t>
        </is>
      </c>
      <c r="B373" t="inlineStr">
        <is>
          <t>Wilkes-Barre General Hospital</t>
        </is>
      </c>
      <c r="C373" t="inlineStr">
        <is>
          <t>PA</t>
        </is>
      </c>
      <c r="D373" t="inlineStr">
        <is>
          <t>Metropolitan</t>
        </is>
      </c>
      <c r="E373" s="5" t="n">
        <v>2048</v>
      </c>
      <c r="F373" s="4" t="n">
        <v>0.49267578125</v>
      </c>
      <c r="G373" s="4" t="n">
        <v>0.5561032496780601</v>
      </c>
      <c r="H373" s="3" t="n">
        <v>27210175.8883207</v>
      </c>
      <c r="I373" s="3" t="n">
        <v>610032.6867097318</v>
      </c>
      <c r="J373" s="4" t="n">
        <v>0.0224192849474219</v>
      </c>
      <c r="K373">
        <f>IF(AND(I373&gt;0,J373&gt;=Assumptions!$B$4),1,0)</f>
        <v/>
      </c>
      <c r="L373" s="3">
        <f>I373*K373</f>
        <v/>
      </c>
      <c r="M373">
        <f>SUM($K$2:K373)</f>
        <v/>
      </c>
    </row>
    <row r="374">
      <c r="A374" t="inlineStr">
        <is>
          <t>490101</t>
        </is>
      </c>
      <c r="B374" t="inlineStr">
        <is>
          <t>Inova Fair Oaks Hospital</t>
        </is>
      </c>
      <c r="C374" t="inlineStr">
        <is>
          <t>VA</t>
        </is>
      </c>
      <c r="D374" t="inlineStr">
        <is>
          <t>Metropolitan</t>
        </is>
      </c>
      <c r="E374" s="5" t="n">
        <v>1826</v>
      </c>
      <c r="F374" s="4" t="n">
        <v>0.5750273822562979</v>
      </c>
      <c r="G374" s="4" t="n">
        <v>0.5720519111991001</v>
      </c>
      <c r="H374" s="3" t="n">
        <v>28374429.78353267</v>
      </c>
      <c r="I374" s="3" t="n">
        <v>609955.3228906691</v>
      </c>
      <c r="J374" s="4" t="n">
        <v>0.0214966548242199</v>
      </c>
      <c r="K374">
        <f>IF(AND(I374&gt;0,J374&gt;=Assumptions!$B$4),1,0)</f>
        <v/>
      </c>
      <c r="L374" s="3">
        <f>I374*K374</f>
        <v/>
      </c>
      <c r="M374">
        <f>SUM($K$2:K374)</f>
        <v/>
      </c>
    </row>
    <row r="375">
      <c r="A375" t="inlineStr">
        <is>
          <t>320018</t>
        </is>
      </c>
      <c r="B375" t="inlineStr">
        <is>
          <t>Memorial Medical Center</t>
        </is>
      </c>
      <c r="C375" t="inlineStr">
        <is>
          <t>NM</t>
        </is>
      </c>
      <c r="D375" t="inlineStr">
        <is>
          <t>Metropolitan</t>
        </is>
      </c>
      <c r="E375" s="5" t="n">
        <v>901</v>
      </c>
      <c r="F375" s="4" t="n">
        <v>0.5416204217536071</v>
      </c>
      <c r="G375" s="4" t="n">
        <v>0.5896554574049763</v>
      </c>
      <c r="H375" s="3" t="n">
        <v>13668941.97950051</v>
      </c>
      <c r="I375" s="3" t="n">
        <v>609550.9914078191</v>
      </c>
      <c r="J375" s="4" t="n">
        <v>0.0445938677859611</v>
      </c>
      <c r="K375">
        <f>IF(AND(I375&gt;0,J375&gt;=Assumptions!$B$4),1,0)</f>
        <v/>
      </c>
      <c r="L375" s="3">
        <f>I375*K375</f>
        <v/>
      </c>
      <c r="M375">
        <f>SUM($K$2:K375)</f>
        <v/>
      </c>
    </row>
    <row r="376">
      <c r="A376" t="inlineStr">
        <is>
          <t>390079</t>
        </is>
      </c>
      <c r="B376" t="inlineStr">
        <is>
          <t>Robert Packer Hospital</t>
        </is>
      </c>
      <c r="C376" t="inlineStr">
        <is>
          <t>PA</t>
        </is>
      </c>
      <c r="D376" t="inlineStr">
        <is>
          <t>Micropolitan</t>
        </is>
      </c>
      <c r="E376" s="5" t="n">
        <v>2230</v>
      </c>
      <c r="F376" s="4" t="n">
        <v>0.4905829596412556</v>
      </c>
      <c r="G376" s="4" t="n">
        <v>0.5296273230403225</v>
      </c>
      <c r="H376" s="3" t="n">
        <v>37022688.41470284</v>
      </c>
      <c r="I376" s="3" t="n">
        <v>608915.3770458698</v>
      </c>
      <c r="J376" s="4" t="n">
        <v>0.0164470869923117</v>
      </c>
      <c r="K376">
        <f>IF(AND(I376&gt;0,J376&gt;=Assumptions!$B$4),1,0)</f>
        <v/>
      </c>
      <c r="L376" s="3">
        <f>I376*K376</f>
        <v/>
      </c>
      <c r="M376">
        <f>SUM($K$2:K376)</f>
        <v/>
      </c>
    </row>
    <row r="377">
      <c r="A377" t="inlineStr">
        <is>
          <t>100267</t>
        </is>
      </c>
      <c r="B377" t="inlineStr">
        <is>
          <t>Hca Florida Englewood Hospital</t>
        </is>
      </c>
      <c r="C377" t="inlineStr">
        <is>
          <t>FL</t>
        </is>
      </c>
      <c r="D377" t="inlineStr">
        <is>
          <t>Metropolitan</t>
        </is>
      </c>
      <c r="E377" s="5" t="n">
        <v>1005</v>
      </c>
      <c r="F377" s="4" t="n">
        <v>0.5024875621890548</v>
      </c>
      <c r="G377" s="4" t="n">
        <v>0.58877425982112</v>
      </c>
      <c r="H377" s="3" t="n">
        <v>12904717.40495655</v>
      </c>
      <c r="I377" s="3" t="n">
        <v>607029.2023763601</v>
      </c>
      <c r="J377" s="4" t="n">
        <v>0.0470393254906308</v>
      </c>
      <c r="K377">
        <f>IF(AND(I377&gt;0,J377&gt;=Assumptions!$B$4),1,0)</f>
        <v/>
      </c>
      <c r="L377" s="3">
        <f>I377*K377</f>
        <v/>
      </c>
      <c r="M377">
        <f>SUM($K$2:K377)</f>
        <v/>
      </c>
    </row>
    <row r="378">
      <c r="A378" t="inlineStr">
        <is>
          <t>140189</t>
        </is>
      </c>
      <c r="B378" t="inlineStr">
        <is>
          <t>Sarah Bush Lincoln Health Center</t>
        </is>
      </c>
      <c r="C378" t="inlineStr">
        <is>
          <t>IL</t>
        </is>
      </c>
      <c r="D378" t="inlineStr">
        <is>
          <t>Micropolitan</t>
        </is>
      </c>
      <c r="E378" s="5" t="n">
        <v>1603</v>
      </c>
      <c r="F378" s="4" t="n">
        <v>0.495321272613849</v>
      </c>
      <c r="G378" s="4" t="n">
        <v>0.5699760739531724</v>
      </c>
      <c r="H378" s="3" t="n">
        <v>21009704.14022853</v>
      </c>
      <c r="I378" s="3" t="n">
        <v>606525.2963123322</v>
      </c>
      <c r="J378" s="4" t="n">
        <v>0.0288688166317859</v>
      </c>
      <c r="K378">
        <f>IF(AND(I378&gt;0,J378&gt;=Assumptions!$B$4),1,0)</f>
        <v/>
      </c>
      <c r="L378" s="3">
        <f>I378*K378</f>
        <v/>
      </c>
      <c r="M378">
        <f>SUM($K$2:K378)</f>
        <v/>
      </c>
    </row>
    <row r="379">
      <c r="A379" t="inlineStr">
        <is>
          <t>310047</t>
        </is>
      </c>
      <c r="B379" t="inlineStr">
        <is>
          <t>Shore Medical Center</t>
        </is>
      </c>
      <c r="C379" t="inlineStr">
        <is>
          <t>NJ</t>
        </is>
      </c>
      <c r="D379" t="inlineStr">
        <is>
          <t>Metropolitan</t>
        </is>
      </c>
      <c r="E379" s="5" t="n">
        <v>1959</v>
      </c>
      <c r="F379" s="4" t="n">
        <v>0.4818785094435936</v>
      </c>
      <c r="G379" s="4" t="n">
        <v>0.5573998894620805</v>
      </c>
      <c r="H379" s="3" t="n">
        <v>24761668.76294176</v>
      </c>
      <c r="I379" s="3" t="n">
        <v>605930.5469312705</v>
      </c>
      <c r="J379" s="4" t="n">
        <v>0.0244705053093232</v>
      </c>
      <c r="K379">
        <f>IF(AND(I379&gt;0,J379&gt;=Assumptions!$B$4),1,0)</f>
        <v/>
      </c>
      <c r="L379" s="3">
        <f>I379*K379</f>
        <v/>
      </c>
      <c r="M379">
        <f>SUM($K$2:K379)</f>
        <v/>
      </c>
    </row>
    <row r="380">
      <c r="A380" t="inlineStr">
        <is>
          <t>230047</t>
        </is>
      </c>
      <c r="B380" t="inlineStr">
        <is>
          <t>Henry Ford Health Macomb Hospital</t>
        </is>
      </c>
      <c r="C380" t="inlineStr">
        <is>
          <t>MI</t>
        </is>
      </c>
      <c r="D380" t="inlineStr">
        <is>
          <t>Metropolitan</t>
        </is>
      </c>
      <c r="E380" s="5" t="n">
        <v>3464</v>
      </c>
      <c r="F380" s="4" t="n">
        <v>0.5459006928406467</v>
      </c>
      <c r="G380" s="4" t="n">
        <v>0.5785239793575911</v>
      </c>
      <c r="H380" s="3" t="n">
        <v>52674804.46375042</v>
      </c>
      <c r="I380" s="3" t="n">
        <v>604958.4573027045</v>
      </c>
      <c r="J380" s="4" t="n">
        <v>0.0114847784146787</v>
      </c>
      <c r="K380">
        <f>IF(AND(I380&gt;0,J380&gt;=Assumptions!$B$4),1,0)</f>
        <v/>
      </c>
      <c r="L380" s="3">
        <f>I380*K380</f>
        <v/>
      </c>
      <c r="M380">
        <f>SUM($K$2:K380)</f>
        <v/>
      </c>
    </row>
    <row r="381">
      <c r="A381" t="inlineStr">
        <is>
          <t>220015</t>
        </is>
      </c>
      <c r="B381" t="inlineStr">
        <is>
          <t>Cooley Dickinson Hospital Inc,the</t>
        </is>
      </c>
      <c r="C381" t="inlineStr">
        <is>
          <t>MA</t>
        </is>
      </c>
      <c r="D381" t="inlineStr">
        <is>
          <t>Metropolitan</t>
        </is>
      </c>
      <c r="E381" s="5" t="n">
        <v>1239</v>
      </c>
      <c r="F381" s="4" t="n">
        <v>0.58272800645682</v>
      </c>
      <c r="G381" s="4" t="n">
        <v>0.6566261741772133</v>
      </c>
      <c r="H381" s="3" t="n">
        <v>16633103.84077917</v>
      </c>
      <c r="I381" s="3" t="n">
        <v>604739.8366909549</v>
      </c>
      <c r="J381" s="4" t="n">
        <v>0.0363576060415327</v>
      </c>
      <c r="K381">
        <f>IF(AND(I381&gt;0,J381&gt;=Assumptions!$B$4),1,0)</f>
        <v/>
      </c>
      <c r="L381" s="3">
        <f>I381*K381</f>
        <v/>
      </c>
      <c r="M381">
        <f>SUM($K$2:K381)</f>
        <v/>
      </c>
    </row>
    <row r="382">
      <c r="A382" t="inlineStr">
        <is>
          <t>020026</t>
        </is>
      </c>
      <c r="B382" t="inlineStr">
        <is>
          <t>Alaska Native Medical Center</t>
        </is>
      </c>
      <c r="C382" t="inlineStr">
        <is>
          <t>AK</t>
        </is>
      </c>
      <c r="D382" t="inlineStr">
        <is>
          <t>Metropolitan</t>
        </is>
      </c>
      <c r="E382" s="5" t="n">
        <v>751</v>
      </c>
      <c r="F382" s="4" t="n">
        <v>0.5752330226364847</v>
      </c>
      <c r="G382" s="4" t="n">
        <v>0.625707029305056</v>
      </c>
      <c r="H382" s="3" t="n">
        <v>12463552.04724492</v>
      </c>
      <c r="I382" s="3" t="n">
        <v>603297.4998714309</v>
      </c>
      <c r="J382" s="4" t="n">
        <v>0.0484049408695485</v>
      </c>
      <c r="K382">
        <f>IF(AND(I382&gt;0,J382&gt;=Assumptions!$B$4),1,0)</f>
        <v/>
      </c>
      <c r="L382" s="3">
        <f>I382*K382</f>
        <v/>
      </c>
      <c r="M382">
        <f>SUM($K$2:K382)</f>
        <v/>
      </c>
    </row>
    <row r="383">
      <c r="A383" t="inlineStr">
        <is>
          <t>500027</t>
        </is>
      </c>
      <c r="B383" t="inlineStr">
        <is>
          <t>Swedish Medical Center</t>
        </is>
      </c>
      <c r="C383" t="inlineStr">
        <is>
          <t>WA</t>
        </is>
      </c>
      <c r="D383" t="inlineStr">
        <is>
          <t>Metropolitan</t>
        </is>
      </c>
      <c r="E383" s="5" t="n">
        <v>2140</v>
      </c>
      <c r="F383" s="4" t="n">
        <v>0.5392523364485982</v>
      </c>
      <c r="G383" s="4" t="n">
        <v>0.5240459764048679</v>
      </c>
      <c r="H383" s="3" t="n">
        <v>40264741.94103506</v>
      </c>
      <c r="I383" s="3" t="n">
        <v>597995.1158777401</v>
      </c>
      <c r="J383" s="4" t="n">
        <v>0.0148515819809167</v>
      </c>
      <c r="K383">
        <f>IF(AND(I383&gt;0,J383&gt;=Assumptions!$B$4),1,0)</f>
        <v/>
      </c>
      <c r="L383" s="3">
        <f>I383*K383</f>
        <v/>
      </c>
      <c r="M383">
        <f>SUM($K$2:K383)</f>
        <v/>
      </c>
    </row>
    <row r="384">
      <c r="A384" t="inlineStr">
        <is>
          <t>380061</t>
        </is>
      </c>
      <c r="B384" t="inlineStr">
        <is>
          <t>Providence Portland Medical Center</t>
        </is>
      </c>
      <c r="C384" t="inlineStr">
        <is>
          <t>OR</t>
        </is>
      </c>
      <c r="D384" t="inlineStr">
        <is>
          <t>Metropolitan</t>
        </is>
      </c>
      <c r="E384" s="5" t="n">
        <v>2087</v>
      </c>
      <c r="F384" s="4" t="n">
        <v>0.6061332055582176</v>
      </c>
      <c r="G384" s="4" t="n">
        <v>0.5867123619378549</v>
      </c>
      <c r="H384" s="3" t="n">
        <v>39331781.18749179</v>
      </c>
      <c r="I384" s="3" t="n">
        <v>595883.7937505096</v>
      </c>
      <c r="J384" s="4" t="n">
        <v>0.0151501858232652</v>
      </c>
      <c r="K384">
        <f>IF(AND(I384&gt;0,J384&gt;=Assumptions!$B$4),1,0)</f>
        <v/>
      </c>
      <c r="L384" s="3">
        <f>I384*K384</f>
        <v/>
      </c>
      <c r="M384">
        <f>SUM($K$2:K384)</f>
        <v/>
      </c>
    </row>
    <row r="385">
      <c r="A385" t="inlineStr">
        <is>
          <t>520208</t>
        </is>
      </c>
      <c r="B385" t="inlineStr">
        <is>
          <t>Ssm Health St Mary's Hospital - Janesville</t>
        </is>
      </c>
      <c r="C385" t="inlineStr">
        <is>
          <t>WI</t>
        </is>
      </c>
      <c r="D385" t="inlineStr">
        <is>
          <t>Metropolitan</t>
        </is>
      </c>
      <c r="E385" s="5" t="n">
        <v>444</v>
      </c>
      <c r="F385" s="4" t="n">
        <v>0.6621621621621622</v>
      </c>
      <c r="G385" s="4" t="n">
        <v>0.7628907808439696</v>
      </c>
      <c r="H385" s="3" t="n">
        <v>6282941.235601951</v>
      </c>
      <c r="I385" s="3" t="n">
        <v>594712.9363370156</v>
      </c>
      <c r="J385" s="4" t="n">
        <v>0.0946551804379621</v>
      </c>
      <c r="K385">
        <f>IF(AND(I385&gt;0,J385&gt;=Assumptions!$B$4),1,0)</f>
        <v/>
      </c>
      <c r="L385" s="3">
        <f>I385*K385</f>
        <v/>
      </c>
      <c r="M385">
        <f>SUM($K$2:K385)</f>
        <v/>
      </c>
    </row>
    <row r="386">
      <c r="A386" t="inlineStr">
        <is>
          <t>030065</t>
        </is>
      </c>
      <c r="B386" t="inlineStr">
        <is>
          <t>Banner Desert Medical Center</t>
        </is>
      </c>
      <c r="C386" t="inlineStr">
        <is>
          <t>AZ</t>
        </is>
      </c>
      <c r="D386" t="inlineStr">
        <is>
          <t>Metropolitan</t>
        </is>
      </c>
      <c r="E386" s="5" t="n">
        <v>3060</v>
      </c>
      <c r="F386" s="4" t="n">
        <v>0.5516339869281046</v>
      </c>
      <c r="G386" s="4" t="n">
        <v>0.5403169461665341</v>
      </c>
      <c r="H386" s="3" t="n">
        <v>55293716.69380134</v>
      </c>
      <c r="I386" s="3" t="n">
        <v>593866.2690600827</v>
      </c>
      <c r="J386" s="4" t="n">
        <v>0.0107402125335274</v>
      </c>
      <c r="K386">
        <f>IF(AND(I386&gt;0,J386&gt;=Assumptions!$B$4),1,0)</f>
        <v/>
      </c>
      <c r="L386" s="3">
        <f>I386*K386</f>
        <v/>
      </c>
      <c r="M386">
        <f>SUM($K$2:K386)</f>
        <v/>
      </c>
    </row>
    <row r="387">
      <c r="A387" t="inlineStr">
        <is>
          <t>410008</t>
        </is>
      </c>
      <c r="B387" t="inlineStr">
        <is>
          <t>South County Hospital Inc</t>
        </is>
      </c>
      <c r="C387" t="inlineStr">
        <is>
          <t>RI</t>
        </is>
      </c>
      <c r="D387" t="inlineStr">
        <is>
          <t>Metropolitan</t>
        </is>
      </c>
      <c r="E387" s="5" t="n">
        <v>801</v>
      </c>
      <c r="F387" s="4" t="n">
        <v>0.4531835205992509</v>
      </c>
      <c r="G387" s="4" t="n">
        <v>0.5424624490613805</v>
      </c>
      <c r="H387" s="3" t="n">
        <v>10774733.13562993</v>
      </c>
      <c r="I387" s="3" t="n">
        <v>589055.7321898118</v>
      </c>
      <c r="J387" s="4" t="n">
        <v>0.0546700994609249</v>
      </c>
      <c r="K387">
        <f>IF(AND(I387&gt;0,J387&gt;=Assumptions!$B$4),1,0)</f>
        <v/>
      </c>
      <c r="L387" s="3">
        <f>I387*K387</f>
        <v/>
      </c>
      <c r="M387">
        <f>SUM($K$2:K387)</f>
        <v/>
      </c>
    </row>
    <row r="388">
      <c r="A388" t="inlineStr">
        <is>
          <t>520070</t>
        </is>
      </c>
      <c r="B388" t="inlineStr">
        <is>
          <t>Mayo Clinic Health System In Eau Claire</t>
        </is>
      </c>
      <c r="C388" t="inlineStr">
        <is>
          <t>WI</t>
        </is>
      </c>
      <c r="D388" t="inlineStr">
        <is>
          <t>Metropolitan</t>
        </is>
      </c>
      <c r="E388" s="5" t="n">
        <v>2838</v>
      </c>
      <c r="F388" s="4" t="n">
        <v>0.5151515151515151</v>
      </c>
      <c r="G388" s="4" t="n">
        <v>0.5489641838975404</v>
      </c>
      <c r="H388" s="3" t="n">
        <v>50319769.34676566</v>
      </c>
      <c r="I388" s="3" t="n">
        <v>588692.3749863207</v>
      </c>
      <c r="J388" s="4" t="n">
        <v>0.0116990276908763</v>
      </c>
      <c r="K388">
        <f>IF(AND(I388&gt;0,J388&gt;=Assumptions!$B$4),1,0)</f>
        <v/>
      </c>
      <c r="L388" s="3">
        <f>I388*K388</f>
        <v/>
      </c>
      <c r="M388">
        <f>SUM($K$2:K388)</f>
        <v/>
      </c>
    </row>
    <row r="389">
      <c r="A389" t="inlineStr">
        <is>
          <t>360234</t>
        </is>
      </c>
      <c r="B389" t="inlineStr">
        <is>
          <t>Mercy Health - West Hospital</t>
        </is>
      </c>
      <c r="C389" t="inlineStr">
        <is>
          <t>OH</t>
        </is>
      </c>
      <c r="D389" t="inlineStr">
        <is>
          <t>Metropolitan</t>
        </is>
      </c>
      <c r="E389" s="5" t="n">
        <v>1618</v>
      </c>
      <c r="F389" s="4" t="n">
        <v>0.5562422744128553</v>
      </c>
      <c r="G389" s="4" t="n">
        <v>0.6138010796825446</v>
      </c>
      <c r="H389" s="3" t="n">
        <v>22986773.60647194</v>
      </c>
      <c r="I389" s="3" t="n">
        <v>588683.4025040194</v>
      </c>
      <c r="J389" s="4" t="n">
        <v>0.0256096576484433</v>
      </c>
      <c r="K389">
        <f>IF(AND(I389&gt;0,J389&gt;=Assumptions!$B$4),1,0)</f>
        <v/>
      </c>
      <c r="L389" s="3">
        <f>I389*K389</f>
        <v/>
      </c>
      <c r="M389">
        <f>SUM($K$2:K389)</f>
        <v/>
      </c>
    </row>
    <row r="390">
      <c r="A390" t="inlineStr">
        <is>
          <t>010035</t>
        </is>
      </c>
      <c r="B390" t="inlineStr">
        <is>
          <t>Cullman Regional Medical Center</t>
        </is>
      </c>
      <c r="C390" t="inlineStr">
        <is>
          <t>AL</t>
        </is>
      </c>
      <c r="D390" t="inlineStr">
        <is>
          <t>Micropolitan</t>
        </is>
      </c>
      <c r="E390" s="5" t="n">
        <v>1606</v>
      </c>
      <c r="F390" s="4" t="n">
        <v>0.5186799501867995</v>
      </c>
      <c r="G390" s="4" t="n">
        <v>0.5785759932451645</v>
      </c>
      <c r="H390" s="3" t="n">
        <v>19674179.53757799</v>
      </c>
      <c r="I390" s="3" t="n">
        <v>586080.7385676242</v>
      </c>
      <c r="J390" s="4" t="n">
        <v>0.0297893356847842</v>
      </c>
      <c r="K390">
        <f>IF(AND(I390&gt;0,J390&gt;=Assumptions!$B$4),1,0)</f>
        <v/>
      </c>
      <c r="L390" s="3">
        <f>I390*K390</f>
        <v/>
      </c>
      <c r="M390">
        <f>SUM($K$2:K390)</f>
        <v/>
      </c>
    </row>
    <row r="391">
      <c r="A391" t="inlineStr">
        <is>
          <t>340113</t>
        </is>
      </c>
      <c r="B391" t="inlineStr">
        <is>
          <t>Carolinas Medical Center/Behav Health</t>
        </is>
      </c>
      <c r="C391" t="inlineStr">
        <is>
          <t>NC</t>
        </is>
      </c>
      <c r="D391" t="inlineStr">
        <is>
          <t>Metropolitan</t>
        </is>
      </c>
      <c r="E391" s="5" t="n">
        <v>5921</v>
      </c>
      <c r="F391" s="4" t="n">
        <v>0.4708664077014018</v>
      </c>
      <c r="G391" s="4" t="n">
        <v>0.4697344813757642</v>
      </c>
      <c r="H391" s="3" t="n">
        <v>130739927.6059291</v>
      </c>
      <c r="I391" s="3" t="n">
        <v>585571.2121020108</v>
      </c>
      <c r="J391" s="4" t="n">
        <v>0.0044789011499762</v>
      </c>
      <c r="K391">
        <f>IF(AND(I391&gt;0,J391&gt;=Assumptions!$B$4),1,0)</f>
        <v/>
      </c>
      <c r="L391" s="3">
        <f>I391*K391</f>
        <v/>
      </c>
      <c r="M391">
        <f>SUM($K$2:K391)</f>
        <v/>
      </c>
    </row>
    <row r="392">
      <c r="A392" t="inlineStr">
        <is>
          <t>010019</t>
        </is>
      </c>
      <c r="B392" t="inlineStr">
        <is>
          <t>Helen Keller Memorial Hospital</t>
        </is>
      </c>
      <c r="C392" t="inlineStr">
        <is>
          <t>AL</t>
        </is>
      </c>
      <c r="D392" t="inlineStr">
        <is>
          <t>Metropolitan</t>
        </is>
      </c>
      <c r="E392" s="5" t="n">
        <v>890</v>
      </c>
      <c r="F392" s="4" t="n">
        <v>0.503370786516854</v>
      </c>
      <c r="G392" s="4" t="n">
        <v>0.6231583489748662</v>
      </c>
      <c r="H392" s="3" t="n">
        <v>10402279.90468902</v>
      </c>
      <c r="I392" s="3" t="n">
        <v>584717.5272810198</v>
      </c>
      <c r="J392" s="4" t="n">
        <v>0.0562105166019852</v>
      </c>
      <c r="K392">
        <f>IF(AND(I392&gt;0,J392&gt;=Assumptions!$B$4),1,0)</f>
        <v/>
      </c>
      <c r="L392" s="3">
        <f>I392*K392</f>
        <v/>
      </c>
      <c r="M392">
        <f>SUM($K$2:K392)</f>
        <v/>
      </c>
    </row>
    <row r="393">
      <c r="A393" t="inlineStr">
        <is>
          <t>360359</t>
        </is>
      </c>
      <c r="B393" t="inlineStr">
        <is>
          <t>University Hospitals Ahuja Medical Center</t>
        </is>
      </c>
      <c r="C393" t="inlineStr">
        <is>
          <t>OH</t>
        </is>
      </c>
      <c r="D393" t="inlineStr">
        <is>
          <t>Metropolitan</t>
        </is>
      </c>
      <c r="E393" s="5" t="n">
        <v>1574</v>
      </c>
      <c r="F393" s="4" t="n">
        <v>0.5247776365946633</v>
      </c>
      <c r="G393" s="4" t="n">
        <v>0.5663990321182498</v>
      </c>
      <c r="H393" s="3" t="n">
        <v>22091587.82082697</v>
      </c>
      <c r="I393" s="3" t="n">
        <v>584591.7960875183</v>
      </c>
      <c r="J393" s="4" t="n">
        <v>0.0264621900801711</v>
      </c>
      <c r="K393">
        <f>IF(AND(I393&gt;0,J393&gt;=Assumptions!$B$4),1,0)</f>
        <v/>
      </c>
      <c r="L393" s="3">
        <f>I393*K393</f>
        <v/>
      </c>
      <c r="M393">
        <f>SUM($K$2:K393)</f>
        <v/>
      </c>
    </row>
    <row r="394">
      <c r="A394" t="inlineStr">
        <is>
          <t>450042</t>
        </is>
      </c>
      <c r="B394" t="inlineStr">
        <is>
          <t>Ascension Providence Depaul</t>
        </is>
      </c>
      <c r="C394" t="inlineStr">
        <is>
          <t>TX</t>
        </is>
      </c>
      <c r="D394" t="inlineStr">
        <is>
          <t>Metropolitan</t>
        </is>
      </c>
      <c r="E394" s="5" t="n">
        <v>1851</v>
      </c>
      <c r="F394" s="4" t="n">
        <v>0.571042679632631</v>
      </c>
      <c r="G394" s="4" t="n">
        <v>0.5676404500841287</v>
      </c>
      <c r="H394" s="3" t="n">
        <v>30291396.36097653</v>
      </c>
      <c r="I394" s="3" t="n">
        <v>584421.5149479248</v>
      </c>
      <c r="J394" s="4" t="n">
        <v>0.0192933170852703</v>
      </c>
      <c r="K394">
        <f>IF(AND(I394&gt;0,J394&gt;=Assumptions!$B$4),1,0)</f>
        <v/>
      </c>
      <c r="L394" s="3">
        <f>I394*K394</f>
        <v/>
      </c>
      <c r="M394">
        <f>SUM($K$2:K394)</f>
        <v/>
      </c>
    </row>
    <row r="395">
      <c r="A395" t="inlineStr">
        <is>
          <t>140289</t>
        </is>
      </c>
      <c r="B395" t="inlineStr">
        <is>
          <t>Anderson Hospital</t>
        </is>
      </c>
      <c r="C395" t="inlineStr">
        <is>
          <t>IL</t>
        </is>
      </c>
      <c r="D395" t="inlineStr">
        <is>
          <t>Metropolitan</t>
        </is>
      </c>
      <c r="E395" s="5" t="n">
        <v>958</v>
      </c>
      <c r="F395" s="4" t="n">
        <v>0.5260960334029228</v>
      </c>
      <c r="G395" s="4" t="n">
        <v>0.6499815401310735</v>
      </c>
      <c r="H395" s="3" t="n">
        <v>12017272.29986984</v>
      </c>
      <c r="I395" s="3" t="n">
        <v>583083.2666099332</v>
      </c>
      <c r="J395" s="4" t="n">
        <v>0.0485204339271107</v>
      </c>
      <c r="K395">
        <f>IF(AND(I395&gt;0,J395&gt;=Assumptions!$B$4),1,0)</f>
        <v/>
      </c>
      <c r="L395" s="3">
        <f>I395*K395</f>
        <v/>
      </c>
      <c r="M395">
        <f>SUM($K$2:K395)</f>
        <v/>
      </c>
    </row>
    <row r="396">
      <c r="A396" t="inlineStr">
        <is>
          <t>210011</t>
        </is>
      </c>
      <c r="B396" t="inlineStr">
        <is>
          <t>Saint Agnes Hospital</t>
        </is>
      </c>
      <c r="C396" t="inlineStr">
        <is>
          <t>MD</t>
        </is>
      </c>
      <c r="D396" t="inlineStr">
        <is>
          <t>Metropolitan</t>
        </is>
      </c>
      <c r="E396" s="5" t="n">
        <v>2162</v>
      </c>
      <c r="F396" s="4" t="n">
        <v>0.5573543015726179</v>
      </c>
      <c r="G396" s="4" t="n">
        <v>0.5948118073048327</v>
      </c>
      <c r="H396" s="3" t="n">
        <v>32779216.47897981</v>
      </c>
      <c r="I396" s="3" t="n">
        <v>581925.8171347864</v>
      </c>
      <c r="J396" s="4" t="n">
        <v>0.0177528897772146</v>
      </c>
      <c r="K396">
        <f>IF(AND(I396&gt;0,J396&gt;=Assumptions!$B$4),1,0)</f>
        <v/>
      </c>
      <c r="L396" s="3">
        <f>I396*K396</f>
        <v/>
      </c>
      <c r="M396">
        <f>SUM($K$2:K396)</f>
        <v/>
      </c>
    </row>
    <row r="397">
      <c r="A397" t="inlineStr">
        <is>
          <t>100073</t>
        </is>
      </c>
      <c r="B397" t="inlineStr">
        <is>
          <t>Holy Cross Hospital</t>
        </is>
      </c>
      <c r="C397" t="inlineStr">
        <is>
          <t>FL</t>
        </is>
      </c>
      <c r="D397" t="inlineStr">
        <is>
          <t>Metropolitan</t>
        </is>
      </c>
      <c r="E397" s="5" t="n">
        <v>3023</v>
      </c>
      <c r="F397" s="4" t="n">
        <v>0.5302679457492557</v>
      </c>
      <c r="G397" s="4" t="n">
        <v>0.5632201101203723</v>
      </c>
      <c r="H397" s="3" t="n">
        <v>46334795.42116486</v>
      </c>
      <c r="I397" s="3" t="n">
        <v>580742.6745856777</v>
      </c>
      <c r="J397" s="4" t="n">
        <v>0.0125336190503693</v>
      </c>
      <c r="K397">
        <f>IF(AND(I397&gt;0,J397&gt;=Assumptions!$B$4),1,0)</f>
        <v/>
      </c>
      <c r="L397" s="3">
        <f>I397*K397</f>
        <v/>
      </c>
      <c r="M397">
        <f>SUM($K$2:K397)</f>
        <v/>
      </c>
    </row>
    <row r="398">
      <c r="A398" t="inlineStr">
        <is>
          <t>390125</t>
        </is>
      </c>
      <c r="B398" t="inlineStr">
        <is>
          <t>Wayne Memorial Hospital</t>
        </is>
      </c>
      <c r="C398" t="inlineStr">
        <is>
          <t>PA</t>
        </is>
      </c>
      <c r="D398" t="inlineStr">
        <is>
          <t>Small town</t>
        </is>
      </c>
      <c r="E398" s="5" t="n">
        <v>526</v>
      </c>
      <c r="F398" s="4" t="n">
        <v>0.3840304182509506</v>
      </c>
      <c r="G398" s="4" t="n">
        <v>0.5966519329129741</v>
      </c>
      <c r="H398" s="3" t="n">
        <v>6036485.752082302</v>
      </c>
      <c r="I398" s="3" t="n">
        <v>578114.5419338318</v>
      </c>
      <c r="J398" s="4" t="n">
        <v>0.0957700499391404</v>
      </c>
      <c r="K398">
        <f>IF(AND(I398&gt;0,J398&gt;=Assumptions!$B$4),1,0)</f>
        <v/>
      </c>
      <c r="L398" s="3">
        <f>I398*K398</f>
        <v/>
      </c>
      <c r="M398">
        <f>SUM($K$2:K398)</f>
        <v/>
      </c>
    </row>
    <row r="399">
      <c r="A399" t="inlineStr">
        <is>
          <t>100052</t>
        </is>
      </c>
      <c r="B399" t="inlineStr">
        <is>
          <t>Winter Haven Hospital</t>
        </is>
      </c>
      <c r="C399" t="inlineStr">
        <is>
          <t>FL</t>
        </is>
      </c>
      <c r="D399" t="inlineStr">
        <is>
          <t>Metropolitan</t>
        </is>
      </c>
      <c r="E399" s="5" t="n">
        <v>2260</v>
      </c>
      <c r="F399" s="4" t="n">
        <v>0.5849557522123894</v>
      </c>
      <c r="G399" s="4" t="n">
        <v>0.6171266486938338</v>
      </c>
      <c r="H399" s="3" t="n">
        <v>34363405.95962528</v>
      </c>
      <c r="I399" s="3" t="n">
        <v>575867.1018228903</v>
      </c>
      <c r="J399" s="4" t="n">
        <v>0.0167581497159942</v>
      </c>
      <c r="K399">
        <f>IF(AND(I399&gt;0,J399&gt;=Assumptions!$B$4),1,0)</f>
        <v/>
      </c>
      <c r="L399" s="3">
        <f>I399*K399</f>
        <v/>
      </c>
      <c r="M399">
        <f>SUM($K$2:K399)</f>
        <v/>
      </c>
    </row>
    <row r="400">
      <c r="A400" t="inlineStr">
        <is>
          <t>450801</t>
        </is>
      </c>
      <c r="B400" t="inlineStr">
        <is>
          <t>Christus St Michael Health System</t>
        </is>
      </c>
      <c r="C400" t="inlineStr">
        <is>
          <t>TX</t>
        </is>
      </c>
      <c r="D400" t="inlineStr">
        <is>
          <t>Metropolitan</t>
        </is>
      </c>
      <c r="E400" s="5" t="n">
        <v>2745</v>
      </c>
      <c r="F400" s="4" t="n">
        <v>0.5963570127504554</v>
      </c>
      <c r="G400" s="4" t="n">
        <v>0.5895248321321066</v>
      </c>
      <c r="H400" s="3" t="n">
        <v>45966691.54632465</v>
      </c>
      <c r="I400" s="3" t="n">
        <v>574453.0001950264</v>
      </c>
      <c r="J400" s="4" t="n">
        <v>0.0124971578521395</v>
      </c>
      <c r="K400">
        <f>IF(AND(I400&gt;0,J400&gt;=Assumptions!$B$4),1,0)</f>
        <v/>
      </c>
      <c r="L400" s="3">
        <f>I400*K400</f>
        <v/>
      </c>
      <c r="M400">
        <f>SUM($K$2:K400)</f>
        <v/>
      </c>
    </row>
    <row r="401">
      <c r="A401" t="inlineStr">
        <is>
          <t>050770</t>
        </is>
      </c>
      <c r="B401" t="inlineStr">
        <is>
          <t>Loma Linda University Medical Center-Murrieta</t>
        </is>
      </c>
      <c r="C401" t="inlineStr">
        <is>
          <t>CA</t>
        </is>
      </c>
      <c r="D401" t="inlineStr">
        <is>
          <t>Metropolitan</t>
        </is>
      </c>
      <c r="E401" s="5" t="n">
        <v>1324</v>
      </c>
      <c r="F401" s="4" t="n">
        <v>0.533987915407855</v>
      </c>
      <c r="G401" s="4" t="n">
        <v>0.569827827441543</v>
      </c>
      <c r="H401" s="3" t="n">
        <v>22773907.89850539</v>
      </c>
      <c r="I401" s="3" t="n">
        <v>573859.3690176606</v>
      </c>
      <c r="J401" s="4" t="n">
        <v>0.0251981070431624</v>
      </c>
      <c r="K401">
        <f>IF(AND(I401&gt;0,J401&gt;=Assumptions!$B$4),1,0)</f>
        <v/>
      </c>
      <c r="L401" s="3">
        <f>I401*K401</f>
        <v/>
      </c>
      <c r="M401">
        <f>SUM($K$2:K401)</f>
        <v/>
      </c>
    </row>
    <row r="402">
      <c r="A402" t="inlineStr">
        <is>
          <t>210061</t>
        </is>
      </c>
      <c r="B402" t="inlineStr">
        <is>
          <t>Atlantic General Hospital</t>
        </is>
      </c>
      <c r="C402" t="inlineStr">
        <is>
          <t>MD</t>
        </is>
      </c>
      <c r="D402" t="inlineStr">
        <is>
          <t>Micropolitan</t>
        </is>
      </c>
      <c r="E402" s="5" t="n">
        <v>857</v>
      </c>
      <c r="F402" s="4" t="n">
        <v>0.5297549591598599</v>
      </c>
      <c r="G402" s="4" t="n">
        <v>0.6175835955873786</v>
      </c>
      <c r="H402" s="3" t="n">
        <v>11945247.31876554</v>
      </c>
      <c r="I402" s="3" t="n">
        <v>571895.562469339</v>
      </c>
      <c r="J402" s="4" t="n">
        <v>0.0478764103586965</v>
      </c>
      <c r="K402">
        <f>IF(AND(I402&gt;0,J402&gt;=Assumptions!$B$4),1,0)</f>
        <v/>
      </c>
      <c r="L402" s="3">
        <f>I402*K402</f>
        <v/>
      </c>
      <c r="M402">
        <f>SUM($K$2:K402)</f>
        <v/>
      </c>
    </row>
    <row r="403">
      <c r="A403" t="inlineStr">
        <is>
          <t>050678</t>
        </is>
      </c>
      <c r="B403" t="inlineStr">
        <is>
          <t>Memorialcare Orange Coast Medical Center</t>
        </is>
      </c>
      <c r="C403" t="inlineStr">
        <is>
          <t>CA</t>
        </is>
      </c>
      <c r="D403" t="inlineStr">
        <is>
          <t>Metropolitan</t>
        </is>
      </c>
      <c r="E403" s="5" t="n">
        <v>1730</v>
      </c>
      <c r="F403" s="4" t="n">
        <v>0.607514450867052</v>
      </c>
      <c r="G403" s="4" t="n">
        <v>0.6375298903990063</v>
      </c>
      <c r="H403" s="3" t="n">
        <v>29165293.84337311</v>
      </c>
      <c r="I403" s="3" t="n">
        <v>570637.1395216957</v>
      </c>
      <c r="J403" s="4" t="n">
        <v>0.0195656228456396</v>
      </c>
      <c r="K403">
        <f>IF(AND(I403&gt;0,J403&gt;=Assumptions!$B$4),1,0)</f>
        <v/>
      </c>
      <c r="L403" s="3">
        <f>I403*K403</f>
        <v/>
      </c>
      <c r="M403">
        <f>SUM($K$2:K403)</f>
        <v/>
      </c>
    </row>
    <row r="404">
      <c r="A404" t="inlineStr">
        <is>
          <t>330245</t>
        </is>
      </c>
      <c r="B404" t="inlineStr">
        <is>
          <t>St Elizabeth Medical Center</t>
        </is>
      </c>
      <c r="C404" t="inlineStr">
        <is>
          <t>NY</t>
        </is>
      </c>
      <c r="D404" t="inlineStr">
        <is>
          <t>Metropolitan</t>
        </is>
      </c>
      <c r="E404" s="5" t="n">
        <v>1170</v>
      </c>
      <c r="F404" s="4" t="n">
        <v>0.5076923076923077</v>
      </c>
      <c r="G404" s="4" t="n">
        <v>0.5752502875853612</v>
      </c>
      <c r="H404" s="3" t="n">
        <v>19430624.58035628</v>
      </c>
      <c r="I404" s="3" t="n">
        <v>566752.6467316486</v>
      </c>
      <c r="J404" s="4" t="n">
        <v>0.0291680097254628</v>
      </c>
      <c r="K404">
        <f>IF(AND(I404&gt;0,J404&gt;=Assumptions!$B$4),1,0)</f>
        <v/>
      </c>
      <c r="L404" s="3">
        <f>I404*K404</f>
        <v/>
      </c>
      <c r="M404">
        <f>SUM($K$2:K404)</f>
        <v/>
      </c>
    </row>
    <row r="405">
      <c r="A405" t="inlineStr">
        <is>
          <t>100117</t>
        </is>
      </c>
      <c r="B405" t="inlineStr">
        <is>
          <t>Baptist Medical Center - Beaches</t>
        </is>
      </c>
      <c r="C405" t="inlineStr">
        <is>
          <t>FL</t>
        </is>
      </c>
      <c r="D405" t="inlineStr">
        <is>
          <t>Metropolitan</t>
        </is>
      </c>
      <c r="E405" s="5" t="n">
        <v>1624</v>
      </c>
      <c r="F405" s="4" t="n">
        <v>0.4993842364532019</v>
      </c>
      <c r="G405" s="4" t="n">
        <v>0.5653065614538189</v>
      </c>
      <c r="H405" s="3" t="n">
        <v>20493996.71981741</v>
      </c>
      <c r="I405" s="3" t="n">
        <v>566326.7894565053</v>
      </c>
      <c r="J405" s="4" t="n">
        <v>0.0276337894066741</v>
      </c>
      <c r="K405">
        <f>IF(AND(I405&gt;0,J405&gt;=Assumptions!$B$4),1,0)</f>
        <v/>
      </c>
      <c r="L405" s="3">
        <f>I405*K405</f>
        <v/>
      </c>
      <c r="M405">
        <f>SUM($K$2:K405)</f>
        <v/>
      </c>
    </row>
    <row r="406">
      <c r="A406" t="inlineStr">
        <is>
          <t>260011</t>
        </is>
      </c>
      <c r="B406" t="inlineStr">
        <is>
          <t>Ssm Health St. Mary's Hospital - Jefferson City</t>
        </is>
      </c>
      <c r="C406" t="inlineStr">
        <is>
          <t>MO</t>
        </is>
      </c>
      <c r="D406" t="inlineStr">
        <is>
          <t>Metropolitan</t>
        </is>
      </c>
      <c r="E406" s="5" t="n">
        <v>550</v>
      </c>
      <c r="F406" s="4" t="n">
        <v>0.5309090909090909</v>
      </c>
      <c r="G406" s="4" t="n">
        <v>0.6131320280242578</v>
      </c>
      <c r="H406" s="3" t="n">
        <v>9655252.511052798</v>
      </c>
      <c r="I406" s="3" t="n">
        <v>566238.8036198616</v>
      </c>
      <c r="J406" s="4" t="n">
        <v>0.0586456752914191</v>
      </c>
      <c r="K406">
        <f>IF(AND(I406&gt;0,J406&gt;=Assumptions!$B$4),1,0)</f>
        <v/>
      </c>
      <c r="L406" s="3">
        <f>I406*K406</f>
        <v/>
      </c>
      <c r="M406">
        <f>SUM($K$2:K406)</f>
        <v/>
      </c>
    </row>
    <row r="407">
      <c r="A407" t="inlineStr">
        <is>
          <t>050107</t>
        </is>
      </c>
      <c r="B407" t="inlineStr">
        <is>
          <t>Marian Regional Medical Center</t>
        </is>
      </c>
      <c r="C407" t="inlineStr">
        <is>
          <t>CA</t>
        </is>
      </c>
      <c r="D407" t="inlineStr">
        <is>
          <t>Metropolitan</t>
        </is>
      </c>
      <c r="E407" s="5" t="n">
        <v>3282</v>
      </c>
      <c r="F407" s="4" t="n">
        <v>0.5834856794637416</v>
      </c>
      <c r="G407" s="4" t="n">
        <v>0.587168461541927</v>
      </c>
      <c r="H407" s="3" t="n">
        <v>52192364.21381871</v>
      </c>
      <c r="I407" s="3" t="n">
        <v>561893.7334151492</v>
      </c>
      <c r="J407" s="4" t="n">
        <v>0.0107658225849516</v>
      </c>
      <c r="K407">
        <f>IF(AND(I407&gt;0,J407&gt;=Assumptions!$B$4),1,0)</f>
        <v/>
      </c>
      <c r="L407" s="3">
        <f>I407*K407</f>
        <v/>
      </c>
      <c r="M407">
        <f>SUM($K$2:K407)</f>
        <v/>
      </c>
    </row>
    <row r="408">
      <c r="A408" t="inlineStr">
        <is>
          <t>300012</t>
        </is>
      </c>
      <c r="B408" t="inlineStr">
        <is>
          <t>Elliot Hospital</t>
        </is>
      </c>
      <c r="C408" t="inlineStr">
        <is>
          <t>NH</t>
        </is>
      </c>
      <c r="D408" t="inlineStr">
        <is>
          <t>Metropolitan</t>
        </is>
      </c>
      <c r="E408" s="5" t="n">
        <v>1961</v>
      </c>
      <c r="F408" s="4" t="n">
        <v>0.5696073431922488</v>
      </c>
      <c r="G408" s="4" t="n">
        <v>0.5989912539765967</v>
      </c>
      <c r="H408" s="3" t="n">
        <v>27390341.32517892</v>
      </c>
      <c r="I408" s="3" t="n">
        <v>559016.6631306224</v>
      </c>
      <c r="J408" s="4" t="n">
        <v>0.0204092623926792</v>
      </c>
      <c r="K408">
        <f>IF(AND(I408&gt;0,J408&gt;=Assumptions!$B$4),1,0)</f>
        <v/>
      </c>
      <c r="L408" s="3">
        <f>I408*K408</f>
        <v/>
      </c>
      <c r="M408">
        <f>SUM($K$2:K408)</f>
        <v/>
      </c>
    </row>
    <row r="409">
      <c r="A409" t="inlineStr">
        <is>
          <t>050245</t>
        </is>
      </c>
      <c r="B409" t="inlineStr">
        <is>
          <t>Arrowhead Regional Medical Center</t>
        </is>
      </c>
      <c r="C409" t="inlineStr">
        <is>
          <t>CA</t>
        </is>
      </c>
      <c r="D409" t="inlineStr">
        <is>
          <t>Metropolitan</t>
        </is>
      </c>
      <c r="E409" s="5" t="n">
        <v>632</v>
      </c>
      <c r="F409" s="4" t="n">
        <v>0.5775316455696202</v>
      </c>
      <c r="G409" s="4" t="n">
        <v>0.6667964105228981</v>
      </c>
      <c r="H409" s="3" t="n">
        <v>9329158.355789451</v>
      </c>
      <c r="I409" s="3" t="n">
        <v>558639.3141531348</v>
      </c>
      <c r="J409" s="4" t="n">
        <v>0.0598809981402509</v>
      </c>
      <c r="K409">
        <f>IF(AND(I409&gt;0,J409&gt;=Assumptions!$B$4),1,0)</f>
        <v/>
      </c>
      <c r="L409" s="3">
        <f>I409*K409</f>
        <v/>
      </c>
      <c r="M409">
        <f>SUM($K$2:K409)</f>
        <v/>
      </c>
    </row>
    <row r="410">
      <c r="A410" t="inlineStr">
        <is>
          <t>220116</t>
        </is>
      </c>
      <c r="B410" t="inlineStr">
        <is>
          <t>Tufts Medical Center</t>
        </is>
      </c>
      <c r="C410" t="inlineStr">
        <is>
          <t>MA</t>
        </is>
      </c>
      <c r="D410" t="inlineStr">
        <is>
          <t>Metropolitan</t>
        </is>
      </c>
      <c r="E410" s="5" t="n">
        <v>2400</v>
      </c>
      <c r="F410" s="4" t="n">
        <v>0.4666666666666667</v>
      </c>
      <c r="G410" s="4" t="n">
        <v>0.5026652052219753</v>
      </c>
      <c r="H410" s="3" t="n">
        <v>48004514.69552005</v>
      </c>
      <c r="I410" s="3" t="n">
        <v>558138.0282189697</v>
      </c>
      <c r="J410" s="4" t="n">
        <v>0.0116267820174642</v>
      </c>
      <c r="K410">
        <f>IF(AND(I410&gt;0,J410&gt;=Assumptions!$B$4),1,0)</f>
        <v/>
      </c>
      <c r="L410" s="3">
        <f>I410*K410</f>
        <v/>
      </c>
      <c r="M410">
        <f>SUM($K$2:K410)</f>
        <v/>
      </c>
    </row>
    <row r="411">
      <c r="A411" t="inlineStr">
        <is>
          <t>130006</t>
        </is>
      </c>
      <c r="B411" t="inlineStr">
        <is>
          <t>St Luke's Regional Medical Center</t>
        </is>
      </c>
      <c r="C411" t="inlineStr">
        <is>
          <t>ID</t>
        </is>
      </c>
      <c r="D411" t="inlineStr">
        <is>
          <t>Metropolitan</t>
        </is>
      </c>
      <c r="E411" s="5" t="n">
        <v>3291</v>
      </c>
      <c r="F411" s="4" t="n">
        <v>0.5676086295958676</v>
      </c>
      <c r="G411" s="4" t="n">
        <v>0.5581296364169481</v>
      </c>
      <c r="H411" s="3" t="n">
        <v>64495701.32094912</v>
      </c>
      <c r="I411" s="3" t="n">
        <v>554425.2335228175</v>
      </c>
      <c r="J411" s="4" t="n">
        <v>0.008596312966097299</v>
      </c>
      <c r="K411">
        <f>IF(AND(I411&gt;0,J411&gt;=Assumptions!$B$4),1,0)</f>
        <v/>
      </c>
      <c r="L411" s="3">
        <f>I411*K411</f>
        <v/>
      </c>
      <c r="M411">
        <f>SUM($K$2:K411)</f>
        <v/>
      </c>
    </row>
    <row r="412">
      <c r="A412" t="inlineStr">
        <is>
          <t>330226</t>
        </is>
      </c>
      <c r="B412" t="inlineStr">
        <is>
          <t>Unity Hospital Of Rochester</t>
        </is>
      </c>
      <c r="C412" t="inlineStr">
        <is>
          <t>NY</t>
        </is>
      </c>
      <c r="D412" t="inlineStr">
        <is>
          <t>Metropolitan</t>
        </is>
      </c>
      <c r="E412" s="5" t="n">
        <v>1538</v>
      </c>
      <c r="F412" s="4" t="n">
        <v>0.5403120936280884</v>
      </c>
      <c r="G412" s="4" t="n">
        <v>0.5937355539777737</v>
      </c>
      <c r="H412" s="3" t="n">
        <v>21600636.58452405</v>
      </c>
      <c r="I412" s="3" t="n">
        <v>554329.3973155022</v>
      </c>
      <c r="J412" s="4" t="n">
        <v>0.0256626417071733</v>
      </c>
      <c r="K412">
        <f>IF(AND(I412&gt;0,J412&gt;=Assumptions!$B$4),1,0)</f>
        <v/>
      </c>
      <c r="L412" s="3">
        <f>I412*K412</f>
        <v/>
      </c>
      <c r="M412">
        <f>SUM($K$2:K412)</f>
        <v/>
      </c>
    </row>
    <row r="413">
      <c r="A413" t="inlineStr">
        <is>
          <t>340116</t>
        </is>
      </c>
      <c r="B413" t="inlineStr">
        <is>
          <t>Frye Regional Medical Center</t>
        </is>
      </c>
      <c r="C413" t="inlineStr">
        <is>
          <t>NC</t>
        </is>
      </c>
      <c r="D413" t="inlineStr">
        <is>
          <t>Metropolitan</t>
        </is>
      </c>
      <c r="E413" s="5" t="n">
        <v>1095</v>
      </c>
      <c r="F413" s="4" t="n">
        <v>0.5753424657534246</v>
      </c>
      <c r="G413" s="4" t="n">
        <v>0.6005161507705888</v>
      </c>
      <c r="H413" s="3" t="n">
        <v>18098407.7731421</v>
      </c>
      <c r="I413" s="3" t="n">
        <v>552562.3539022394</v>
      </c>
      <c r="J413" s="4" t="n">
        <v>0.0305309926060035</v>
      </c>
      <c r="K413">
        <f>IF(AND(I413&gt;0,J413&gt;=Assumptions!$B$4),1,0)</f>
        <v/>
      </c>
      <c r="L413" s="3">
        <f>I413*K413</f>
        <v/>
      </c>
      <c r="M413">
        <f>SUM($K$2:K413)</f>
        <v/>
      </c>
    </row>
    <row r="414">
      <c r="A414" t="inlineStr">
        <is>
          <t>100017</t>
        </is>
      </c>
      <c r="B414" t="inlineStr">
        <is>
          <t>Halifax Health Medical Center</t>
        </is>
      </c>
      <c r="C414" t="inlineStr">
        <is>
          <t>FL</t>
        </is>
      </c>
      <c r="D414" t="inlineStr">
        <is>
          <t>Metropolitan</t>
        </is>
      </c>
      <c r="E414" s="5" t="n">
        <v>2475</v>
      </c>
      <c r="F414" s="4" t="n">
        <v>0.5252525252525253</v>
      </c>
      <c r="G414" s="4" t="n">
        <v>0.5482214218669567</v>
      </c>
      <c r="H414" s="3" t="n">
        <v>37985032.00732777</v>
      </c>
      <c r="I414" s="3" t="n">
        <v>551146.6335334033</v>
      </c>
      <c r="J414" s="4" t="n">
        <v>0.0145095740192368</v>
      </c>
      <c r="K414">
        <f>IF(AND(I414&gt;0,J414&gt;=Assumptions!$B$4),1,0)</f>
        <v/>
      </c>
      <c r="L414" s="3">
        <f>I414*K414</f>
        <v/>
      </c>
      <c r="M414">
        <f>SUM($K$2:K414)</f>
        <v/>
      </c>
    </row>
    <row r="415">
      <c r="A415" t="inlineStr">
        <is>
          <t>340183</t>
        </is>
      </c>
      <c r="B415" t="inlineStr">
        <is>
          <t>Novant Health Huntersville Medical Center</t>
        </is>
      </c>
      <c r="C415" t="inlineStr">
        <is>
          <t>NC</t>
        </is>
      </c>
      <c r="D415" t="inlineStr">
        <is>
          <t>Metropolitan</t>
        </is>
      </c>
      <c r="E415" s="5" t="n">
        <v>1155</v>
      </c>
      <c r="F415" s="4" t="n">
        <v>0.5437229437229437</v>
      </c>
      <c r="G415" s="4" t="n">
        <v>0.5950286934211475</v>
      </c>
      <c r="H415" s="3" t="n">
        <v>15679561.44820334</v>
      </c>
      <c r="I415" s="3" t="n">
        <v>550715.069553066</v>
      </c>
      <c r="J415" s="4" t="n">
        <v>0.0351231168915231</v>
      </c>
      <c r="K415">
        <f>IF(AND(I415&gt;0,J415&gt;=Assumptions!$B$4),1,0)</f>
        <v/>
      </c>
      <c r="L415" s="3">
        <f>I415*K415</f>
        <v/>
      </c>
      <c r="M415">
        <f>SUM($K$2:K415)</f>
        <v/>
      </c>
    </row>
    <row r="416">
      <c r="A416" t="inlineStr">
        <is>
          <t>220002</t>
        </is>
      </c>
      <c r="B416" t="inlineStr">
        <is>
          <t>Mount Auburn Hospital</t>
        </is>
      </c>
      <c r="C416" t="inlineStr">
        <is>
          <t>MA</t>
        </is>
      </c>
      <c r="D416" t="inlineStr">
        <is>
          <t>Metropolitan</t>
        </is>
      </c>
      <c r="E416" s="5" t="n">
        <v>2115</v>
      </c>
      <c r="F416" s="4" t="n">
        <v>0.5626477541371159</v>
      </c>
      <c r="G416" s="4" t="n">
        <v>0.5848394308140678</v>
      </c>
      <c r="H416" s="3" t="n">
        <v>29062713.75288782</v>
      </c>
      <c r="I416" s="3" t="n">
        <v>546029.9267731979</v>
      </c>
      <c r="J416" s="4" t="n">
        <v>0.0187879883281354</v>
      </c>
      <c r="K416">
        <f>IF(AND(I416&gt;0,J416&gt;=Assumptions!$B$4),1,0)</f>
        <v/>
      </c>
      <c r="L416" s="3">
        <f>I416*K416</f>
        <v/>
      </c>
      <c r="M416">
        <f>SUM($K$2:K416)</f>
        <v/>
      </c>
    </row>
    <row r="417">
      <c r="A417" t="inlineStr">
        <is>
          <t>330090</t>
        </is>
      </c>
      <c r="B417" t="inlineStr">
        <is>
          <t>Arnot Ogden Medical Center</t>
        </is>
      </c>
      <c r="C417" t="inlineStr">
        <is>
          <t>NY</t>
        </is>
      </c>
      <c r="D417" t="inlineStr">
        <is>
          <t>Metropolitan</t>
        </is>
      </c>
      <c r="E417" s="5" t="n">
        <v>820</v>
      </c>
      <c r="F417" s="4" t="n">
        <v>0.5158536585365854</v>
      </c>
      <c r="G417" s="4" t="n">
        <v>0.6080120433773532</v>
      </c>
      <c r="H417" s="3" t="n">
        <v>9824673.953544542</v>
      </c>
      <c r="I417" s="3" t="n">
        <v>545860.2404992785</v>
      </c>
      <c r="J417" s="4" t="n">
        <v>0.0555601379832399</v>
      </c>
      <c r="K417">
        <f>IF(AND(I417&gt;0,J417&gt;=Assumptions!$B$4),1,0)</f>
        <v/>
      </c>
      <c r="L417" s="3">
        <f>I417*K417</f>
        <v/>
      </c>
      <c r="M417">
        <f>SUM($K$2:K417)</f>
        <v/>
      </c>
    </row>
    <row r="418">
      <c r="A418" t="inlineStr">
        <is>
          <t>140187</t>
        </is>
      </c>
      <c r="B418" t="inlineStr">
        <is>
          <t>Hshs St Elizabeth's Hospital</t>
        </is>
      </c>
      <c r="C418" t="inlineStr">
        <is>
          <t>IL</t>
        </is>
      </c>
      <c r="D418" t="inlineStr">
        <is>
          <t>Metropolitan</t>
        </is>
      </c>
      <c r="E418" s="5" t="n">
        <v>2034</v>
      </c>
      <c r="F418" s="4" t="n">
        <v>0.5511307767944936</v>
      </c>
      <c r="G418" s="4" t="n">
        <v>0.5839295646999062</v>
      </c>
      <c r="H418" s="3" t="n">
        <v>32584553.50146081</v>
      </c>
      <c r="I418" s="3" t="n">
        <v>538826.5909872912</v>
      </c>
      <c r="J418" s="4" t="n">
        <v>0.0165362582293212</v>
      </c>
      <c r="K418">
        <f>IF(AND(I418&gt;0,J418&gt;=Assumptions!$B$4),1,0)</f>
        <v/>
      </c>
      <c r="L418" s="3">
        <f>I418*K418</f>
        <v/>
      </c>
      <c r="M418">
        <f>SUM($K$2:K418)</f>
        <v/>
      </c>
    </row>
    <row r="419">
      <c r="A419" t="inlineStr">
        <is>
          <t>390102</t>
        </is>
      </c>
      <c r="B419" t="inlineStr">
        <is>
          <t>Upmc St Margaret</t>
        </is>
      </c>
      <c r="C419" t="inlineStr">
        <is>
          <t>PA</t>
        </is>
      </c>
      <c r="D419" t="inlineStr">
        <is>
          <t>Metropolitan</t>
        </is>
      </c>
      <c r="E419" s="5" t="n">
        <v>897</v>
      </c>
      <c r="F419" s="4" t="n">
        <v>0.4136008918617614</v>
      </c>
      <c r="G419" s="4" t="n">
        <v>0.538209255166114</v>
      </c>
      <c r="H419" s="3" t="n">
        <v>12691293.97077369</v>
      </c>
      <c r="I419" s="3" t="n">
        <v>525474.0224548485</v>
      </c>
      <c r="J419" s="4" t="n">
        <v>0.0414042905053608</v>
      </c>
      <c r="K419">
        <f>IF(AND(I419&gt;0,J419&gt;=Assumptions!$B$4),1,0)</f>
        <v/>
      </c>
      <c r="L419" s="3">
        <f>I419*K419</f>
        <v/>
      </c>
      <c r="M419">
        <f>SUM($K$2:K419)</f>
        <v/>
      </c>
    </row>
    <row r="420">
      <c r="A420" t="inlineStr">
        <is>
          <t>210009</t>
        </is>
      </c>
      <c r="B420" t="inlineStr">
        <is>
          <t>Johns Hopkins Hospital, The</t>
        </is>
      </c>
      <c r="C420" t="inlineStr">
        <is>
          <t>MD</t>
        </is>
      </c>
      <c r="D420" t="inlineStr">
        <is>
          <t>Metropolitan</t>
        </is>
      </c>
      <c r="E420" s="5" t="n">
        <v>7297</v>
      </c>
      <c r="F420" s="4" t="n">
        <v>0.4871865150061669</v>
      </c>
      <c r="G420" s="4" t="n">
        <v>0.5084796311899301</v>
      </c>
      <c r="H420" s="3" t="n">
        <v>159046285.6349754</v>
      </c>
      <c r="I420" s="3" t="n">
        <v>525401.6765125692</v>
      </c>
      <c r="J420" s="4" t="n">
        <v>0.0033034514098519</v>
      </c>
      <c r="K420">
        <f>IF(AND(I420&gt;0,J420&gt;=Assumptions!$B$4),1,0)</f>
        <v/>
      </c>
      <c r="L420" s="3">
        <f>I420*K420</f>
        <v/>
      </c>
      <c r="M420">
        <f>SUM($K$2:K420)</f>
        <v/>
      </c>
    </row>
    <row r="421">
      <c r="A421" t="inlineStr">
        <is>
          <t>110164</t>
        </is>
      </c>
      <c r="B421" t="inlineStr">
        <is>
          <t>Piedmont Macon Medical Center</t>
        </is>
      </c>
      <c r="C421" t="inlineStr">
        <is>
          <t>GA</t>
        </is>
      </c>
      <c r="D421" t="inlineStr">
        <is>
          <t>Metropolitan</t>
        </is>
      </c>
      <c r="E421" s="5" t="n">
        <v>1190</v>
      </c>
      <c r="F421" s="4" t="n">
        <v>0.6109243697478992</v>
      </c>
      <c r="G421" s="4" t="n">
        <v>0.6174658897579425</v>
      </c>
      <c r="H421" s="3" t="n">
        <v>19284497.35744776</v>
      </c>
      <c r="I421" s="3" t="n">
        <v>522883.0352696329</v>
      </c>
      <c r="J421" s="4" t="n">
        <v>0.0271141645840042</v>
      </c>
      <c r="K421">
        <f>IF(AND(I421&gt;0,J421&gt;=Assumptions!$B$4),1,0)</f>
        <v/>
      </c>
      <c r="L421" s="3">
        <f>I421*K421</f>
        <v/>
      </c>
      <c r="M421">
        <f>SUM($K$2:K421)</f>
        <v/>
      </c>
    </row>
    <row r="422">
      <c r="A422" t="inlineStr">
        <is>
          <t>390123</t>
        </is>
      </c>
      <c r="B422" t="inlineStr">
        <is>
          <t>Pottstown Hospital</t>
        </is>
      </c>
      <c r="C422" t="inlineStr">
        <is>
          <t>PA</t>
        </is>
      </c>
      <c r="D422" t="inlineStr">
        <is>
          <t>Metropolitan</t>
        </is>
      </c>
      <c r="E422" s="5" t="n">
        <v>1153</v>
      </c>
      <c r="F422" s="4" t="n">
        <v>0.5212489158716392</v>
      </c>
      <c r="G422" s="4" t="n">
        <v>0.6001635177383281</v>
      </c>
      <c r="H422" s="3" t="n">
        <v>14840785.50940122</v>
      </c>
      <c r="I422" s="3" t="n">
        <v>522202.5970586911</v>
      </c>
      <c r="J422" s="4" t="n">
        <v>0.0351869917348977</v>
      </c>
      <c r="K422">
        <f>IF(AND(I422&gt;0,J422&gt;=Assumptions!$B$4),1,0)</f>
        <v/>
      </c>
      <c r="L422" s="3">
        <f>I422*K422</f>
        <v/>
      </c>
      <c r="M422">
        <f>SUM($K$2:K422)</f>
        <v/>
      </c>
    </row>
    <row r="423">
      <c r="A423" t="inlineStr">
        <is>
          <t>490050</t>
        </is>
      </c>
      <c r="B423" t="inlineStr">
        <is>
          <t>Virginia Hospital Center</t>
        </is>
      </c>
      <c r="C423" t="inlineStr">
        <is>
          <t>VA</t>
        </is>
      </c>
      <c r="D423" t="inlineStr">
        <is>
          <t>Metropolitan</t>
        </is>
      </c>
      <c r="E423" s="5" t="n">
        <v>3282</v>
      </c>
      <c r="F423" s="4" t="n">
        <v>0.5874466788543571</v>
      </c>
      <c r="G423" s="4" t="n">
        <v>0.5646634816772403</v>
      </c>
      <c r="H423" s="3" t="n">
        <v>58815828.63651595</v>
      </c>
      <c r="I423" s="3" t="n">
        <v>521113.091491729</v>
      </c>
      <c r="J423" s="4" t="n">
        <v>0.008860082456922</v>
      </c>
      <c r="K423">
        <f>IF(AND(I423&gt;0,J423&gt;=Assumptions!$B$4),1,0)</f>
        <v/>
      </c>
      <c r="L423" s="3">
        <f>I423*K423</f>
        <v/>
      </c>
      <c r="M423">
        <f>SUM($K$2:K423)</f>
        <v/>
      </c>
    </row>
    <row r="424">
      <c r="A424" t="inlineStr">
        <is>
          <t>450023</t>
        </is>
      </c>
      <c r="B424" t="inlineStr">
        <is>
          <t>Citizens Medical Center</t>
        </is>
      </c>
      <c r="C424" t="inlineStr">
        <is>
          <t>TX</t>
        </is>
      </c>
      <c r="D424" t="inlineStr">
        <is>
          <t>Metropolitan</t>
        </is>
      </c>
      <c r="E424" s="5" t="n">
        <v>1027</v>
      </c>
      <c r="F424" s="4" t="n">
        <v>0.5452775073028238</v>
      </c>
      <c r="G424" s="4" t="n">
        <v>0.6310533814550363</v>
      </c>
      <c r="H424" s="3" t="n">
        <v>13007093.54383293</v>
      </c>
      <c r="I424" s="3" t="n">
        <v>520805.3074811138</v>
      </c>
      <c r="J424" s="4" t="n">
        <v>0.0400400985605307</v>
      </c>
      <c r="K424">
        <f>IF(AND(I424&gt;0,J424&gt;=Assumptions!$B$4),1,0)</f>
        <v/>
      </c>
      <c r="L424" s="3">
        <f>I424*K424</f>
        <v/>
      </c>
      <c r="M424">
        <f>SUM($K$2:K424)</f>
        <v/>
      </c>
    </row>
    <row r="425">
      <c r="A425" t="inlineStr">
        <is>
          <t>210012</t>
        </is>
      </c>
      <c r="B425" t="inlineStr">
        <is>
          <t>Sinai Hospital Of Baltimore</t>
        </is>
      </c>
      <c r="C425" t="inlineStr">
        <is>
          <t>MD</t>
        </is>
      </c>
      <c r="D425" t="inlineStr">
        <is>
          <t>Metropolitan</t>
        </is>
      </c>
      <c r="E425" s="5" t="n">
        <v>3091</v>
      </c>
      <c r="F425" s="4" t="n">
        <v>0.4610158524749272</v>
      </c>
      <c r="G425" s="4" t="n">
        <v>0.4987670385277657</v>
      </c>
      <c r="H425" s="3" t="n">
        <v>55683571.64327629</v>
      </c>
      <c r="I425" s="3" t="n">
        <v>520125.8070503995</v>
      </c>
      <c r="J425" s="4" t="n">
        <v>0.009340740755324799</v>
      </c>
      <c r="K425">
        <f>IF(AND(I425&gt;0,J425&gt;=Assumptions!$B$4),1,0)</f>
        <v/>
      </c>
      <c r="L425" s="3">
        <f>I425*K425</f>
        <v/>
      </c>
      <c r="M425">
        <f>SUM($K$2:K425)</f>
        <v/>
      </c>
    </row>
    <row r="426">
      <c r="A426" t="inlineStr">
        <is>
          <t>330222</t>
        </is>
      </c>
      <c r="B426" t="inlineStr">
        <is>
          <t>Saratoga Hospital</t>
        </is>
      </c>
      <c r="C426" t="inlineStr">
        <is>
          <t>NY</t>
        </is>
      </c>
      <c r="D426" t="inlineStr">
        <is>
          <t>Metropolitan</t>
        </is>
      </c>
      <c r="E426" s="5" t="n">
        <v>1273</v>
      </c>
      <c r="F426" s="4" t="n">
        <v>0.5899450117831894</v>
      </c>
      <c r="G426" s="4" t="n">
        <v>0.6329610214234023</v>
      </c>
      <c r="H426" s="3" t="n">
        <v>18022387.68813185</v>
      </c>
      <c r="I426" s="3" t="n">
        <v>518367.7678621449</v>
      </c>
      <c r="J426" s="4" t="n">
        <v>0.0287624357455977</v>
      </c>
      <c r="K426">
        <f>IF(AND(I426&gt;0,J426&gt;=Assumptions!$B$4),1,0)</f>
        <v/>
      </c>
      <c r="L426" s="3">
        <f>I426*K426</f>
        <v/>
      </c>
      <c r="M426">
        <f>SUM($K$2:K426)</f>
        <v/>
      </c>
    </row>
    <row r="427">
      <c r="A427" t="inlineStr">
        <is>
          <t>420051</t>
        </is>
      </c>
      <c r="B427" t="inlineStr">
        <is>
          <t>Mcleod Regional Medical Center-Pee Dee</t>
        </is>
      </c>
      <c r="C427" t="inlineStr">
        <is>
          <t>SC</t>
        </is>
      </c>
      <c r="D427" t="inlineStr">
        <is>
          <t>Metropolitan</t>
        </is>
      </c>
      <c r="E427" s="5" t="n">
        <v>5096</v>
      </c>
      <c r="F427" s="4" t="n">
        <v>0.5370879120879121</v>
      </c>
      <c r="G427" s="4" t="n">
        <v>0.5446871582855032</v>
      </c>
      <c r="H427" s="3" t="n">
        <v>82610303.90423107</v>
      </c>
      <c r="I427" s="3" t="n">
        <v>517214.3413265049</v>
      </c>
      <c r="J427" s="4" t="n">
        <v>0.0062608938217453</v>
      </c>
      <c r="K427">
        <f>IF(AND(I427&gt;0,J427&gt;=Assumptions!$B$4),1,0)</f>
        <v/>
      </c>
      <c r="L427" s="3">
        <f>I427*K427</f>
        <v/>
      </c>
      <c r="M427">
        <f>SUM($K$2:K427)</f>
        <v/>
      </c>
    </row>
    <row r="428">
      <c r="A428" t="inlineStr">
        <is>
          <t>100142</t>
        </is>
      </c>
      <c r="B428" t="inlineStr">
        <is>
          <t>Jackson Hospital</t>
        </is>
      </c>
      <c r="C428" t="inlineStr">
        <is>
          <t>FL</t>
        </is>
      </c>
      <c r="D428" t="inlineStr">
        <is>
          <t>Small town</t>
        </is>
      </c>
      <c r="E428" s="5" t="n">
        <v>416</v>
      </c>
      <c r="F428" s="4" t="n">
        <v>0.4254807692307692</v>
      </c>
      <c r="G428" s="4" t="n">
        <v>0.6708690514382997</v>
      </c>
      <c r="H428" s="3" t="n">
        <v>4974123.012425639</v>
      </c>
      <c r="I428" s="3" t="n">
        <v>514222.8360091737</v>
      </c>
      <c r="J428" s="4" t="n">
        <v>0.1033795977149371</v>
      </c>
      <c r="K428">
        <f>IF(AND(I428&gt;0,J428&gt;=Assumptions!$B$4),1,0)</f>
        <v/>
      </c>
      <c r="L428" s="3">
        <f>I428*K428</f>
        <v/>
      </c>
      <c r="M428">
        <f>SUM($K$2:K428)</f>
        <v/>
      </c>
    </row>
    <row r="429">
      <c r="A429" t="inlineStr">
        <is>
          <t>220001</t>
        </is>
      </c>
      <c r="B429" t="inlineStr">
        <is>
          <t>Health Alliance - Clinton Hospital</t>
        </is>
      </c>
      <c r="C429" t="inlineStr">
        <is>
          <t>MA</t>
        </is>
      </c>
      <c r="D429" t="inlineStr">
        <is>
          <t>Metropolitan</t>
        </is>
      </c>
      <c r="E429" s="5" t="n">
        <v>1609</v>
      </c>
      <c r="F429" s="4" t="n">
        <v>0.5811062771908018</v>
      </c>
      <c r="G429" s="4" t="n">
        <v>0.6374172151048481</v>
      </c>
      <c r="H429" s="3" t="n">
        <v>19844529.40500918</v>
      </c>
      <c r="I429" s="3" t="n">
        <v>512945.1126767397</v>
      </c>
      <c r="J429" s="4" t="n">
        <v>0.0258481872866817</v>
      </c>
      <c r="K429">
        <f>IF(AND(I429&gt;0,J429&gt;=Assumptions!$B$4),1,0)</f>
        <v/>
      </c>
      <c r="L429" s="3">
        <f>I429*K429</f>
        <v/>
      </c>
      <c r="M429">
        <f>SUM($K$2:K429)</f>
        <v/>
      </c>
    </row>
    <row r="430">
      <c r="A430" t="inlineStr">
        <is>
          <t>440161</t>
        </is>
      </c>
      <c r="B430" t="inlineStr">
        <is>
          <t>Tristar Centennial Medical Center</t>
        </is>
      </c>
      <c r="C430" t="inlineStr">
        <is>
          <t>TN</t>
        </is>
      </c>
      <c r="D430" t="inlineStr">
        <is>
          <t>Metropolitan</t>
        </is>
      </c>
      <c r="E430" s="5" t="n">
        <v>3113</v>
      </c>
      <c r="F430" s="4" t="n">
        <v>0.4715708319948603</v>
      </c>
      <c r="G430" s="4" t="n">
        <v>0.4659005578151738</v>
      </c>
      <c r="H430" s="3" t="n">
        <v>73454482.44902281</v>
      </c>
      <c r="I430" s="3" t="n">
        <v>510371.9880999029</v>
      </c>
      <c r="J430" s="4" t="n">
        <v>0.0069481394611159</v>
      </c>
      <c r="K430">
        <f>IF(AND(I430&gt;0,J430&gt;=Assumptions!$B$4),1,0)</f>
        <v/>
      </c>
      <c r="L430" s="3">
        <f>I430*K430</f>
        <v/>
      </c>
      <c r="M430">
        <f>SUM($K$2:K430)</f>
        <v/>
      </c>
    </row>
    <row r="431">
      <c r="A431" t="inlineStr">
        <is>
          <t>520206</t>
        </is>
      </c>
      <c r="B431" t="inlineStr">
        <is>
          <t>Aurora Medical Center Summit</t>
        </is>
      </c>
      <c r="C431" t="inlineStr">
        <is>
          <t>WI</t>
        </is>
      </c>
      <c r="D431" t="inlineStr">
        <is>
          <t>Metropolitan</t>
        </is>
      </c>
      <c r="E431" s="5" t="n">
        <v>574</v>
      </c>
      <c r="F431" s="4" t="n">
        <v>0.6010452961672473</v>
      </c>
      <c r="G431" s="4" t="n">
        <v>0.6857456778945598</v>
      </c>
      <c r="H431" s="3" t="n">
        <v>8655142.04685038</v>
      </c>
      <c r="I431" s="3" t="n">
        <v>508017.4704691116</v>
      </c>
      <c r="J431" s="4" t="n">
        <v>0.0586954515268735</v>
      </c>
      <c r="K431">
        <f>IF(AND(I431&gt;0,J431&gt;=Assumptions!$B$4),1,0)</f>
        <v/>
      </c>
      <c r="L431" s="3">
        <f>I431*K431</f>
        <v/>
      </c>
      <c r="M431">
        <f>SUM($K$2:K431)</f>
        <v/>
      </c>
    </row>
    <row r="432">
      <c r="A432" t="inlineStr">
        <is>
          <t>390048</t>
        </is>
      </c>
      <c r="B432" t="inlineStr">
        <is>
          <t>Geisinger-Lewistown Hospital</t>
        </is>
      </c>
      <c r="C432" t="inlineStr">
        <is>
          <t>PA</t>
        </is>
      </c>
      <c r="D432" t="inlineStr">
        <is>
          <t>Micropolitan</t>
        </is>
      </c>
      <c r="E432" s="5" t="n">
        <v>722</v>
      </c>
      <c r="F432" s="4" t="n">
        <v>0.5623268698060941</v>
      </c>
      <c r="G432" s="4" t="n">
        <v>0.6824461459020581</v>
      </c>
      <c r="H432" s="3" t="n">
        <v>9727640.870012866</v>
      </c>
      <c r="I432" s="3" t="n">
        <v>506781.7001085803</v>
      </c>
      <c r="J432" s="4" t="n">
        <v>0.0520970815926009</v>
      </c>
      <c r="K432">
        <f>IF(AND(I432&gt;0,J432&gt;=Assumptions!$B$4),1,0)</f>
        <v/>
      </c>
      <c r="L432" s="3">
        <f>I432*K432</f>
        <v/>
      </c>
      <c r="M432">
        <f>SUM($K$2:K432)</f>
        <v/>
      </c>
    </row>
    <row r="433">
      <c r="A433" t="inlineStr">
        <is>
          <t>050272</t>
        </is>
      </c>
      <c r="B433" t="inlineStr">
        <is>
          <t>Redlands Community Hospital</t>
        </is>
      </c>
      <c r="C433" t="inlineStr">
        <is>
          <t>CA</t>
        </is>
      </c>
      <c r="D433" t="inlineStr">
        <is>
          <t>Metropolitan</t>
        </is>
      </c>
      <c r="E433" s="5" t="n">
        <v>662</v>
      </c>
      <c r="F433" s="4" t="n">
        <v>0.6465256797583081</v>
      </c>
      <c r="G433" s="4" t="n">
        <v>0.666266103086027</v>
      </c>
      <c r="H433" s="3" t="n">
        <v>10311168.60666409</v>
      </c>
      <c r="I433" s="3" t="n">
        <v>506719.9724134151</v>
      </c>
      <c r="J433" s="4" t="n">
        <v>0.0491428267486502</v>
      </c>
      <c r="K433">
        <f>IF(AND(I433&gt;0,J433&gt;=Assumptions!$B$4),1,0)</f>
        <v/>
      </c>
      <c r="L433" s="3">
        <f>I433*K433</f>
        <v/>
      </c>
      <c r="M433">
        <f>SUM($K$2:K433)</f>
        <v/>
      </c>
    </row>
    <row r="434">
      <c r="A434" t="inlineStr">
        <is>
          <t>220105</t>
        </is>
      </c>
      <c r="B434" t="inlineStr">
        <is>
          <t>Winchester Hospital</t>
        </is>
      </c>
      <c r="C434" t="inlineStr">
        <is>
          <t>MA</t>
        </is>
      </c>
      <c r="D434" t="inlineStr">
        <is>
          <t>Metropolitan</t>
        </is>
      </c>
      <c r="E434" s="5" t="n">
        <v>2751</v>
      </c>
      <c r="F434" s="4" t="n">
        <v>0.5405307161032352</v>
      </c>
      <c r="G434" s="4" t="n">
        <v>0.585426522412927</v>
      </c>
      <c r="H434" s="3" t="n">
        <v>33585546.44289515</v>
      </c>
      <c r="I434" s="3" t="n">
        <v>501764.5821040832</v>
      </c>
      <c r="J434" s="4" t="n">
        <v>0.0149398963318111</v>
      </c>
      <c r="K434">
        <f>IF(AND(I434&gt;0,J434&gt;=Assumptions!$B$4),1,0)</f>
        <v/>
      </c>
      <c r="L434" s="3">
        <f>I434*K434</f>
        <v/>
      </c>
      <c r="M434">
        <f>SUM($K$2:K434)</f>
        <v/>
      </c>
    </row>
    <row r="435">
      <c r="A435" t="inlineStr">
        <is>
          <t>250058</t>
        </is>
      </c>
      <c r="B435" t="inlineStr">
        <is>
          <t>South Central Reg Med Ctr</t>
        </is>
      </c>
      <c r="C435" t="inlineStr">
        <is>
          <t>MS</t>
        </is>
      </c>
      <c r="D435" t="inlineStr">
        <is>
          <t>Micropolitan</t>
        </is>
      </c>
      <c r="E435" s="5" t="n">
        <v>968</v>
      </c>
      <c r="F435" s="4" t="n">
        <v>0.5103305785123967</v>
      </c>
      <c r="G435" s="4" t="n">
        <v>0.5994086621424689</v>
      </c>
      <c r="H435" s="3" t="n">
        <v>11601892.84254988</v>
      </c>
      <c r="I435" s="3" t="n">
        <v>500949.3871925138</v>
      </c>
      <c r="J435" s="4" t="n">
        <v>0.0431782463422937</v>
      </c>
      <c r="K435">
        <f>IF(AND(I435&gt;0,J435&gt;=Assumptions!$B$4),1,0)</f>
        <v/>
      </c>
      <c r="L435" s="3">
        <f>I435*K435</f>
        <v/>
      </c>
      <c r="M435">
        <f>SUM($K$2:K435)</f>
        <v/>
      </c>
    </row>
    <row r="436">
      <c r="A436" t="inlineStr">
        <is>
          <t>360084</t>
        </is>
      </c>
      <c r="B436" t="inlineStr">
        <is>
          <t>Aultman Hospital</t>
        </is>
      </c>
      <c r="C436" t="inlineStr">
        <is>
          <t>OH</t>
        </is>
      </c>
      <c r="D436" t="inlineStr">
        <is>
          <t>Metropolitan</t>
        </is>
      </c>
      <c r="E436" s="5" t="n">
        <v>2032</v>
      </c>
      <c r="F436" s="4" t="n">
        <v>0.5915354330708661</v>
      </c>
      <c r="G436" s="4" t="n">
        <v>0.5872922693620173</v>
      </c>
      <c r="H436" s="3" t="n">
        <v>34761513.23122032</v>
      </c>
      <c r="I436" s="3" t="n">
        <v>495957.9848558232</v>
      </c>
      <c r="J436" s="4" t="n">
        <v>0.0142674451931048</v>
      </c>
      <c r="K436">
        <f>IF(AND(I436&gt;0,J436&gt;=Assumptions!$B$4),1,0)</f>
        <v/>
      </c>
      <c r="L436" s="3">
        <f>I436*K436</f>
        <v/>
      </c>
      <c r="M436">
        <f>SUM($K$2:K436)</f>
        <v/>
      </c>
    </row>
    <row r="437">
      <c r="A437" t="inlineStr">
        <is>
          <t>370023</t>
        </is>
      </c>
      <c r="B437" t="inlineStr">
        <is>
          <t>Duncan Regional Hospital, Inc</t>
        </is>
      </c>
      <c r="C437" t="inlineStr">
        <is>
          <t>OK</t>
        </is>
      </c>
      <c r="D437" t="inlineStr">
        <is>
          <t>Micropolitan</t>
        </is>
      </c>
      <c r="E437" s="5" t="n">
        <v>1008</v>
      </c>
      <c r="F437" s="4" t="n">
        <v>0.5436507936507936</v>
      </c>
      <c r="G437" s="4" t="n">
        <v>0.6338353062084203</v>
      </c>
      <c r="H437" s="3" t="n">
        <v>12947883.30948679</v>
      </c>
      <c r="I437" s="3" t="n">
        <v>492609.8364573252</v>
      </c>
      <c r="J437" s="4" t="n">
        <v>0.0380455882002268</v>
      </c>
      <c r="K437">
        <f>IF(AND(I437&gt;0,J437&gt;=Assumptions!$B$4),1,0)</f>
        <v/>
      </c>
      <c r="L437" s="3">
        <f>I437*K437</f>
        <v/>
      </c>
      <c r="M437">
        <f>SUM($K$2:K437)</f>
        <v/>
      </c>
    </row>
    <row r="438">
      <c r="A438" t="inlineStr">
        <is>
          <t>150058</t>
        </is>
      </c>
      <c r="B438" t="inlineStr">
        <is>
          <t>Memorial Hospital Of South Bend</t>
        </is>
      </c>
      <c r="C438" t="inlineStr">
        <is>
          <t>IN</t>
        </is>
      </c>
      <c r="D438" t="inlineStr">
        <is>
          <t>Metropolitan</t>
        </is>
      </c>
      <c r="E438" s="5" t="n">
        <v>2274</v>
      </c>
      <c r="F438" s="4" t="n">
        <v>0.4828496042216358</v>
      </c>
      <c r="G438" s="4" t="n">
        <v>0.5405001196098626</v>
      </c>
      <c r="H438" s="3" t="n">
        <v>35649718.97423055</v>
      </c>
      <c r="I438" s="3" t="n">
        <v>492541.0013040826</v>
      </c>
      <c r="J438" s="4" t="n">
        <v>0.0138161257781615</v>
      </c>
      <c r="K438">
        <f>IF(AND(I438&gt;0,J438&gt;=Assumptions!$B$4),1,0)</f>
        <v/>
      </c>
      <c r="L438" s="3">
        <f>I438*K438</f>
        <v/>
      </c>
      <c r="M438">
        <f>SUM($K$2:K438)</f>
        <v/>
      </c>
    </row>
    <row r="439">
      <c r="A439" t="inlineStr">
        <is>
          <t>160069</t>
        </is>
      </c>
      <c r="B439" t="inlineStr">
        <is>
          <t>Mercyone Dubuque Medical Center</t>
        </is>
      </c>
      <c r="C439" t="inlineStr">
        <is>
          <t>IA</t>
        </is>
      </c>
      <c r="D439" t="inlineStr">
        <is>
          <t>Metropolitan</t>
        </is>
      </c>
      <c r="E439" s="5" t="n">
        <v>2262</v>
      </c>
      <c r="F439" s="4" t="n">
        <v>0.5649867374005305</v>
      </c>
      <c r="G439" s="4" t="n">
        <v>0.5790988117760575</v>
      </c>
      <c r="H439" s="3" t="n">
        <v>33607171.45671704</v>
      </c>
      <c r="I439" s="3" t="n">
        <v>490601.9986755624</v>
      </c>
      <c r="J439" s="4" t="n">
        <v>0.014598134190121</v>
      </c>
      <c r="K439">
        <f>IF(AND(I439&gt;0,J439&gt;=Assumptions!$B$4),1,0)</f>
        <v/>
      </c>
      <c r="L439" s="3">
        <f>I439*K439</f>
        <v/>
      </c>
      <c r="M439">
        <f>SUM($K$2:K439)</f>
        <v/>
      </c>
    </row>
    <row r="440">
      <c r="A440" t="inlineStr">
        <is>
          <t>230236</t>
        </is>
      </c>
      <c r="B440" t="inlineStr">
        <is>
          <t>University Of Michigan Health - West</t>
        </is>
      </c>
      <c r="C440" t="inlineStr">
        <is>
          <t>MI</t>
        </is>
      </c>
      <c r="D440" t="inlineStr">
        <is>
          <t>Metropolitan</t>
        </is>
      </c>
      <c r="E440" s="5" t="n">
        <v>485</v>
      </c>
      <c r="F440" s="4" t="n">
        <v>0.5092783505154639</v>
      </c>
      <c r="G440" s="4" t="n">
        <v>0.5635562897915003</v>
      </c>
      <c r="H440" s="3" t="n">
        <v>10547094.23089629</v>
      </c>
      <c r="I440" s="3" t="n">
        <v>490265.21611166</v>
      </c>
      <c r="J440" s="4" t="n">
        <v>0.0464834394553425</v>
      </c>
      <c r="K440">
        <f>IF(AND(I440&gt;0,J440&gt;=Assumptions!$B$4),1,0)</f>
        <v/>
      </c>
      <c r="L440" s="3">
        <f>I440*K440</f>
        <v/>
      </c>
      <c r="M440">
        <f>SUM($K$2:K440)</f>
        <v/>
      </c>
    </row>
    <row r="441">
      <c r="A441" t="inlineStr">
        <is>
          <t>510023</t>
        </is>
      </c>
      <c r="B441" t="inlineStr">
        <is>
          <t>Weirton Medical Center, Inc</t>
        </is>
      </c>
      <c r="C441" t="inlineStr">
        <is>
          <t>WV</t>
        </is>
      </c>
      <c r="D441" t="inlineStr">
        <is>
          <t>Metropolitan</t>
        </is>
      </c>
      <c r="E441" s="5" t="n">
        <v>1297</v>
      </c>
      <c r="F441" s="4" t="n">
        <v>0.5497301464919044</v>
      </c>
      <c r="G441" s="4" t="n">
        <v>0.5984839252010078</v>
      </c>
      <c r="H441" s="3" t="n">
        <v>16029816.57270756</v>
      </c>
      <c r="I441" s="3" t="n">
        <v>490038.2633200195</v>
      </c>
      <c r="J441" s="4" t="n">
        <v>0.0305704223811494</v>
      </c>
      <c r="K441">
        <f>IF(AND(I441&gt;0,J441&gt;=Assumptions!$B$4),1,0)</f>
        <v/>
      </c>
      <c r="L441" s="3">
        <f>I441*K441</f>
        <v/>
      </c>
      <c r="M441">
        <f>SUM($K$2:K441)</f>
        <v/>
      </c>
    </row>
    <row r="442">
      <c r="A442" t="inlineStr">
        <is>
          <t>210043</t>
        </is>
      </c>
      <c r="B442" t="inlineStr">
        <is>
          <t>Umd Baltimore Washington  Medical Center</t>
        </is>
      </c>
      <c r="C442" t="inlineStr">
        <is>
          <t>MD</t>
        </is>
      </c>
      <c r="D442" t="inlineStr">
        <is>
          <t>Metropolitan</t>
        </is>
      </c>
      <c r="E442" s="5" t="n">
        <v>4169</v>
      </c>
      <c r="F442" s="4" t="n">
        <v>0.5785560086351643</v>
      </c>
      <c r="G442" s="4" t="n">
        <v>0.604793618482527</v>
      </c>
      <c r="H442" s="3" t="n">
        <v>62628719.38204479</v>
      </c>
      <c r="I442" s="3" t="n">
        <v>489335.0081694871</v>
      </c>
      <c r="J442" s="4" t="n">
        <v>0.0078132686249653</v>
      </c>
      <c r="K442">
        <f>IF(AND(I442&gt;0,J442&gt;=Assumptions!$B$4),1,0)</f>
        <v/>
      </c>
      <c r="L442" s="3">
        <f>I442*K442</f>
        <v/>
      </c>
      <c r="M442">
        <f>SUM($K$2:K442)</f>
        <v/>
      </c>
    </row>
    <row r="443">
      <c r="A443" t="inlineStr">
        <is>
          <t>390174</t>
        </is>
      </c>
      <c r="B443" t="inlineStr">
        <is>
          <t>Thomas Jefferson University Hospital</t>
        </is>
      </c>
      <c r="C443" t="inlineStr">
        <is>
          <t>PA</t>
        </is>
      </c>
      <c r="D443" t="inlineStr">
        <is>
          <t>Metropolitan</t>
        </is>
      </c>
      <c r="E443" s="5" t="n">
        <v>6003</v>
      </c>
      <c r="F443" s="4" t="n">
        <v>0.4860902881892387</v>
      </c>
      <c r="G443" s="4" t="n">
        <v>0.4814586687479594</v>
      </c>
      <c r="H443" s="3" t="n">
        <v>128878692.5105637</v>
      </c>
      <c r="I443" s="3" t="n">
        <v>486594.085656628</v>
      </c>
      <c r="J443" s="4" t="n">
        <v>0.0037755976273327</v>
      </c>
      <c r="K443">
        <f>IF(AND(I443&gt;0,J443&gt;=Assumptions!$B$4),1,0)</f>
        <v/>
      </c>
      <c r="L443" s="3">
        <f>I443*K443</f>
        <v/>
      </c>
      <c r="M443">
        <f>SUM($K$2:K443)</f>
        <v/>
      </c>
    </row>
    <row r="444">
      <c r="A444" t="inlineStr">
        <is>
          <t>210028</t>
        </is>
      </c>
      <c r="B444" t="inlineStr">
        <is>
          <t>Medstar Saint Mary's Hospital</t>
        </is>
      </c>
      <c r="C444" t="inlineStr">
        <is>
          <t>MD</t>
        </is>
      </c>
      <c r="D444" t="inlineStr">
        <is>
          <t>Metropolitan</t>
        </is>
      </c>
      <c r="E444" s="5" t="n">
        <v>1410</v>
      </c>
      <c r="F444" s="4" t="n">
        <v>0.6524822695035462</v>
      </c>
      <c r="G444" s="4" t="n">
        <v>0.6798262749822688</v>
      </c>
      <c r="H444" s="3" t="n">
        <v>18820354.77567036</v>
      </c>
      <c r="I444" s="3" t="n">
        <v>486189.5619565286</v>
      </c>
      <c r="J444" s="4" t="n">
        <v>0.025833177309975</v>
      </c>
      <c r="K444">
        <f>IF(AND(I444&gt;0,J444&gt;=Assumptions!$B$4),1,0)</f>
        <v/>
      </c>
      <c r="L444" s="3">
        <f>I444*K444</f>
        <v/>
      </c>
      <c r="M444">
        <f>SUM($K$2:K444)</f>
        <v/>
      </c>
    </row>
    <row r="445">
      <c r="A445" t="inlineStr">
        <is>
          <t>420089</t>
        </is>
      </c>
      <c r="B445" t="inlineStr">
        <is>
          <t>East Cooper Medical Center</t>
        </is>
      </c>
      <c r="C445" t="inlineStr">
        <is>
          <t>SC</t>
        </is>
      </c>
      <c r="D445" t="inlineStr">
        <is>
          <t>Metropolitan</t>
        </is>
      </c>
      <c r="E445" s="5" t="n">
        <v>419</v>
      </c>
      <c r="F445" s="4" t="n">
        <v>0.350835322195704</v>
      </c>
      <c r="G445" s="4" t="n">
        <v>0.3269205050529535</v>
      </c>
      <c r="H445" s="3" t="n">
        <v>12122765.37147275</v>
      </c>
      <c r="I445" s="3" t="n">
        <v>483748.924934838</v>
      </c>
      <c r="J445" s="4" t="n">
        <v>0.0399041728608551</v>
      </c>
      <c r="K445">
        <f>IF(AND(I445&gt;0,J445&gt;=Assumptions!$B$4),1,0)</f>
        <v/>
      </c>
      <c r="L445" s="3">
        <f>I445*K445</f>
        <v/>
      </c>
      <c r="M445">
        <f>SUM($K$2:K445)</f>
        <v/>
      </c>
    </row>
    <row r="446">
      <c r="A446" t="inlineStr">
        <is>
          <t>050360</t>
        </is>
      </c>
      <c r="B446" t="inlineStr">
        <is>
          <t>Marinhealth Medical Center</t>
        </is>
      </c>
      <c r="C446" t="inlineStr">
        <is>
          <t>CA</t>
        </is>
      </c>
      <c r="D446" t="inlineStr">
        <is>
          <t>Metropolitan</t>
        </is>
      </c>
      <c r="E446" s="5" t="n">
        <v>2377</v>
      </c>
      <c r="F446" s="4" t="n">
        <v>0.505258729490955</v>
      </c>
      <c r="G446" s="4" t="n">
        <v>0.5329970180037595</v>
      </c>
      <c r="H446" s="3" t="n">
        <v>37767993.29143919</v>
      </c>
      <c r="I446" s="3" t="n">
        <v>483520.1483864337</v>
      </c>
      <c r="J446" s="4" t="n">
        <v>0.0128023785816556</v>
      </c>
      <c r="K446">
        <f>IF(AND(I446&gt;0,J446&gt;=Assumptions!$B$4),1,0)</f>
        <v/>
      </c>
      <c r="L446" s="3">
        <f>I446*K446</f>
        <v/>
      </c>
      <c r="M446">
        <f>SUM($K$2:K446)</f>
        <v/>
      </c>
    </row>
    <row r="447">
      <c r="A447" t="inlineStr">
        <is>
          <t>390057</t>
        </is>
      </c>
      <c r="B447" t="inlineStr">
        <is>
          <t>Grand View Health</t>
        </is>
      </c>
      <c r="C447" t="inlineStr">
        <is>
          <t>PA</t>
        </is>
      </c>
      <c r="D447" t="inlineStr">
        <is>
          <t>Metropolitan</t>
        </is>
      </c>
      <c r="E447" s="5" t="n">
        <v>1492</v>
      </c>
      <c r="F447" s="4" t="n">
        <v>0.4966487935656836</v>
      </c>
      <c r="G447" s="4" t="n">
        <v>0.5751303907640666</v>
      </c>
      <c r="H447" s="3" t="n">
        <v>20573972.33944687</v>
      </c>
      <c r="I447" s="3" t="n">
        <v>482674.4757499769</v>
      </c>
      <c r="J447" s="4" t="n">
        <v>0.0234604415611338</v>
      </c>
      <c r="K447">
        <f>IF(AND(I447&gt;0,J447&gt;=Assumptions!$B$4),1,0)</f>
        <v/>
      </c>
      <c r="L447" s="3">
        <f>I447*K447</f>
        <v/>
      </c>
      <c r="M447">
        <f>SUM($K$2:K447)</f>
        <v/>
      </c>
    </row>
    <row r="448">
      <c r="A448" t="inlineStr">
        <is>
          <t>210032</t>
        </is>
      </c>
      <c r="B448" t="inlineStr">
        <is>
          <t>Union Hospital Of Cecil County</t>
        </is>
      </c>
      <c r="C448" t="inlineStr">
        <is>
          <t>MD</t>
        </is>
      </c>
      <c r="D448" t="inlineStr">
        <is>
          <t>Metropolitan</t>
        </is>
      </c>
      <c r="E448" s="5" t="n">
        <v>1210</v>
      </c>
      <c r="F448" s="4" t="n">
        <v>0.5479338842975207</v>
      </c>
      <c r="G448" s="4" t="n">
        <v>0.6534061503841138</v>
      </c>
      <c r="H448" s="3" t="n">
        <v>15406668.20629742</v>
      </c>
      <c r="I448" s="3" t="n">
        <v>482083.3266380057</v>
      </c>
      <c r="J448" s="4" t="n">
        <v>0.0312905632926498</v>
      </c>
      <c r="K448">
        <f>IF(AND(I448&gt;0,J448&gt;=Assumptions!$B$4),1,0)</f>
        <v/>
      </c>
      <c r="L448" s="3">
        <f>I448*K448</f>
        <v/>
      </c>
      <c r="M448">
        <f>SUM($K$2:K448)</f>
        <v/>
      </c>
    </row>
    <row r="449">
      <c r="A449" t="inlineStr">
        <is>
          <t>220065</t>
        </is>
      </c>
      <c r="B449" t="inlineStr">
        <is>
          <t>Baystate Noble Hospital</t>
        </is>
      </c>
      <c r="C449" t="inlineStr">
        <is>
          <t>MA</t>
        </is>
      </c>
      <c r="D449" t="inlineStr">
        <is>
          <t>Metropolitan</t>
        </is>
      </c>
      <c r="E449" s="5" t="n">
        <v>729</v>
      </c>
      <c r="F449" s="4" t="n">
        <v>0.5377229080932785</v>
      </c>
      <c r="G449" s="4" t="n">
        <v>0.634705744281607</v>
      </c>
      <c r="H449" s="3" t="n">
        <v>8453974.901285689</v>
      </c>
      <c r="I449" s="3" t="n">
        <v>480986.4597075265</v>
      </c>
      <c r="J449" s="4" t="n">
        <v>0.0568947111061777</v>
      </c>
      <c r="K449">
        <f>IF(AND(I449&gt;0,J449&gt;=Assumptions!$B$4),1,0)</f>
        <v/>
      </c>
      <c r="L449" s="3">
        <f>I449*K449</f>
        <v/>
      </c>
      <c r="M449">
        <f>SUM($K$2:K449)</f>
        <v/>
      </c>
    </row>
    <row r="450">
      <c r="A450" t="inlineStr">
        <is>
          <t>220020</t>
        </is>
      </c>
      <c r="B450" t="inlineStr">
        <is>
          <t>Saint Anne's Hospital</t>
        </is>
      </c>
      <c r="C450" t="inlineStr">
        <is>
          <t>MA</t>
        </is>
      </c>
      <c r="D450" t="inlineStr">
        <is>
          <t>Metropolitan</t>
        </is>
      </c>
      <c r="E450" s="5" t="n">
        <v>1819</v>
      </c>
      <c r="F450" s="4" t="n">
        <v>0.5272127542605828</v>
      </c>
      <c r="G450" s="4" t="n">
        <v>0.5502448505499277</v>
      </c>
      <c r="H450" s="3" t="n">
        <v>24354336.42442391</v>
      </c>
      <c r="I450" s="3" t="n">
        <v>480560.7604835331</v>
      </c>
      <c r="J450" s="4" t="n">
        <v>0.019732040820525</v>
      </c>
      <c r="K450">
        <f>IF(AND(I450&gt;0,J450&gt;=Assumptions!$B$4),1,0)</f>
        <v/>
      </c>
      <c r="L450" s="3">
        <f>I450*K450</f>
        <v/>
      </c>
      <c r="M450">
        <f>SUM($K$2:K450)</f>
        <v/>
      </c>
    </row>
    <row r="451">
      <c r="A451" t="inlineStr">
        <is>
          <t>150034</t>
        </is>
      </c>
      <c r="B451" t="inlineStr">
        <is>
          <t>St Mary Medical Center Inc</t>
        </is>
      </c>
      <c r="C451" t="inlineStr">
        <is>
          <t>IN</t>
        </is>
      </c>
      <c r="D451" t="inlineStr">
        <is>
          <t>Metropolitan</t>
        </is>
      </c>
      <c r="E451" s="5" t="n">
        <v>1538</v>
      </c>
      <c r="F451" s="4" t="n">
        <v>0.576072821846554</v>
      </c>
      <c r="G451" s="4" t="n">
        <v>0.6149629236026413</v>
      </c>
      <c r="H451" s="3" t="n">
        <v>21252624.84203346</v>
      </c>
      <c r="I451" s="3" t="n">
        <v>476408.202957958</v>
      </c>
      <c r="J451" s="4" t="n">
        <v>0.0224164406278756</v>
      </c>
      <c r="K451">
        <f>IF(AND(I451&gt;0,J451&gt;=Assumptions!$B$4),1,0)</f>
        <v/>
      </c>
      <c r="L451" s="3">
        <f>I451*K451</f>
        <v/>
      </c>
      <c r="M451">
        <f>SUM($K$2:K451)</f>
        <v/>
      </c>
    </row>
    <row r="452">
      <c r="A452" t="inlineStr">
        <is>
          <t>500016</t>
        </is>
      </c>
      <c r="B452" t="inlineStr">
        <is>
          <t>Confluence Health Hospital</t>
        </is>
      </c>
      <c r="C452" t="inlineStr">
        <is>
          <t>WA</t>
        </is>
      </c>
      <c r="D452" t="inlineStr">
        <is>
          <t>Metropolitan</t>
        </is>
      </c>
      <c r="E452" s="5" t="n">
        <v>2060</v>
      </c>
      <c r="F452" s="4" t="n">
        <v>0.5766990291262136</v>
      </c>
      <c r="G452" s="4" t="n">
        <v>0.5484553172715314</v>
      </c>
      <c r="H452" s="3" t="n">
        <v>35442699.80137724</v>
      </c>
      <c r="I452" s="3" t="n">
        <v>471942.2778062448</v>
      </c>
      <c r="J452" s="4" t="n">
        <v>0.0133156413154481</v>
      </c>
      <c r="K452">
        <f>IF(AND(I452&gt;0,J452&gt;=Assumptions!$B$4),1,0)</f>
        <v/>
      </c>
      <c r="L452" s="3">
        <f>I452*K452</f>
        <v/>
      </c>
      <c r="M452">
        <f>SUM($K$2:K452)</f>
        <v/>
      </c>
    </row>
    <row r="453">
      <c r="A453" t="inlineStr">
        <is>
          <t>220070</t>
        </is>
      </c>
      <c r="B453" t="inlineStr">
        <is>
          <t>Melrosewakefield Healthcare</t>
        </is>
      </c>
      <c r="C453" t="inlineStr">
        <is>
          <t>MA</t>
        </is>
      </c>
      <c r="D453" t="inlineStr">
        <is>
          <t>Metropolitan</t>
        </is>
      </c>
      <c r="E453" s="5" t="n">
        <v>2014</v>
      </c>
      <c r="F453" s="4" t="n">
        <v>0.5456802383316782</v>
      </c>
      <c r="G453" s="4" t="n">
        <v>0.6047037844068314</v>
      </c>
      <c r="H453" s="3" t="n">
        <v>24208504.96352177</v>
      </c>
      <c r="I453" s="3" t="n">
        <v>471874.0549540222</v>
      </c>
      <c r="J453" s="4" t="n">
        <v>0.0194920775018969</v>
      </c>
      <c r="K453">
        <f>IF(AND(I453&gt;0,J453&gt;=Assumptions!$B$4),1,0)</f>
        <v/>
      </c>
      <c r="L453" s="3">
        <f>I453*K453</f>
        <v/>
      </c>
      <c r="M453">
        <f>SUM($K$2:K453)</f>
        <v/>
      </c>
    </row>
    <row r="454">
      <c r="A454" t="inlineStr">
        <is>
          <t>220016</t>
        </is>
      </c>
      <c r="B454" t="inlineStr">
        <is>
          <t>Baystate Franklin Medical Center</t>
        </is>
      </c>
      <c r="C454" t="inlineStr">
        <is>
          <t>MA</t>
        </is>
      </c>
      <c r="D454" t="inlineStr">
        <is>
          <t>Micropolitan</t>
        </is>
      </c>
      <c r="E454" s="5" t="n">
        <v>871</v>
      </c>
      <c r="F454" s="4" t="n">
        <v>0.5097588978185993</v>
      </c>
      <c r="G454" s="4" t="n">
        <v>0.6171139950045353</v>
      </c>
      <c r="H454" s="3" t="n">
        <v>10042938.42455387</v>
      </c>
      <c r="I454" s="3" t="n">
        <v>471132.2920688894</v>
      </c>
      <c r="J454" s="4" t="n">
        <v>0.0469117973398127</v>
      </c>
      <c r="K454">
        <f>IF(AND(I454&gt;0,J454&gt;=Assumptions!$B$4),1,0)</f>
        <v/>
      </c>
      <c r="L454" s="3">
        <f>I454*K454</f>
        <v/>
      </c>
      <c r="M454">
        <f>SUM($K$2:K454)</f>
        <v/>
      </c>
    </row>
    <row r="455">
      <c r="A455" t="inlineStr">
        <is>
          <t>050055</t>
        </is>
      </c>
      <c r="B455" t="inlineStr">
        <is>
          <t>California Pacific Medical Center - Mission Bernal</t>
        </is>
      </c>
      <c r="C455" t="inlineStr">
        <is>
          <t>CA</t>
        </is>
      </c>
      <c r="D455" t="inlineStr">
        <is>
          <t>Metropolitan</t>
        </is>
      </c>
      <c r="E455" s="5" t="n">
        <v>776</v>
      </c>
      <c r="F455" s="4" t="n">
        <v>0.5399484536082474</v>
      </c>
      <c r="G455" s="4" t="n">
        <v>0.6369193956550085</v>
      </c>
      <c r="H455" s="3" t="n">
        <v>11544692.80675485</v>
      </c>
      <c r="I455" s="3" t="n">
        <v>471043.3746339884</v>
      </c>
      <c r="J455" s="4" t="n">
        <v>0.0408017244389888</v>
      </c>
      <c r="K455">
        <f>IF(AND(I455&gt;0,J455&gt;=Assumptions!$B$4),1,0)</f>
        <v/>
      </c>
      <c r="L455" s="3">
        <f>I455*K455</f>
        <v/>
      </c>
      <c r="M455">
        <f>SUM($K$2:K455)</f>
        <v/>
      </c>
    </row>
    <row r="456">
      <c r="A456" t="inlineStr">
        <is>
          <t>150056</t>
        </is>
      </c>
      <c r="B456" t="inlineStr">
        <is>
          <t>Indiana University Health</t>
        </is>
      </c>
      <c r="C456" t="inlineStr">
        <is>
          <t>IN</t>
        </is>
      </c>
      <c r="D456" t="inlineStr">
        <is>
          <t>Metropolitan</t>
        </is>
      </c>
      <c r="E456" s="5" t="n">
        <v>5422</v>
      </c>
      <c r="F456" s="4" t="n">
        <v>0.4760236075248986</v>
      </c>
      <c r="G456" s="4" t="n">
        <v>0.492215262489838</v>
      </c>
      <c r="H456" s="3" t="n">
        <v>111337419.6499156</v>
      </c>
      <c r="I456" s="3" t="n">
        <v>466330.0683404356</v>
      </c>
      <c r="J456" s="4" t="n">
        <v>0.0041884396980524</v>
      </c>
      <c r="K456">
        <f>IF(AND(I456&gt;0,J456&gt;=Assumptions!$B$4),1,0)</f>
        <v/>
      </c>
      <c r="L456" s="3">
        <f>I456*K456</f>
        <v/>
      </c>
      <c r="M456">
        <f>SUM($K$2:K456)</f>
        <v/>
      </c>
    </row>
    <row r="457">
      <c r="A457" t="inlineStr">
        <is>
          <t>100206</t>
        </is>
      </c>
      <c r="B457" t="inlineStr">
        <is>
          <t>Hca Florida South Tampa Hospital</t>
        </is>
      </c>
      <c r="C457" t="inlineStr">
        <is>
          <t>FL</t>
        </is>
      </c>
      <c r="D457" t="inlineStr">
        <is>
          <t>Metropolitan</t>
        </is>
      </c>
      <c r="E457" s="5" t="n">
        <v>676</v>
      </c>
      <c r="F457" s="4" t="n">
        <v>0.4689349112426035</v>
      </c>
      <c r="G457" s="4" t="n">
        <v>0.5440882834464399</v>
      </c>
      <c r="H457" s="3" t="n">
        <v>10502981.97056197</v>
      </c>
      <c r="I457" s="3" t="n">
        <v>466098.9438482449</v>
      </c>
      <c r="J457" s="4" t="n">
        <v>0.0443777724416398</v>
      </c>
      <c r="K457">
        <f>IF(AND(I457&gt;0,J457&gt;=Assumptions!$B$4),1,0)</f>
        <v/>
      </c>
      <c r="L457" s="3">
        <f>I457*K457</f>
        <v/>
      </c>
      <c r="M457">
        <f>SUM($K$2:K457)</f>
        <v/>
      </c>
    </row>
    <row r="458">
      <c r="A458" t="inlineStr">
        <is>
          <t>190040</t>
        </is>
      </c>
      <c r="B458" t="inlineStr">
        <is>
          <t>Slidell Memorial Hospital</t>
        </is>
      </c>
      <c r="C458" t="inlineStr">
        <is>
          <t>LA</t>
        </is>
      </c>
      <c r="D458" t="inlineStr">
        <is>
          <t>Metropolitan</t>
        </is>
      </c>
      <c r="E458" s="5" t="n">
        <v>1209</v>
      </c>
      <c r="F458" s="4" t="n">
        <v>0.5467328370554178</v>
      </c>
      <c r="G458" s="4" t="n">
        <v>0.616992276327476</v>
      </c>
      <c r="H458" s="3" t="n">
        <v>15082938.19002943</v>
      </c>
      <c r="I458" s="3" t="n">
        <v>465974.8010979854</v>
      </c>
      <c r="J458" s="4" t="n">
        <v>0.03089416632404</v>
      </c>
      <c r="K458">
        <f>IF(AND(I458&gt;0,J458&gt;=Assumptions!$B$4),1,0)</f>
        <v/>
      </c>
      <c r="L458" s="3">
        <f>I458*K458</f>
        <v/>
      </c>
      <c r="M458">
        <f>SUM($K$2:K458)</f>
        <v/>
      </c>
    </row>
    <row r="459">
      <c r="A459" t="inlineStr">
        <is>
          <t>450083</t>
        </is>
      </c>
      <c r="B459" t="inlineStr">
        <is>
          <t>Ut Health East Texas Tyler Regional Hospital</t>
        </is>
      </c>
      <c r="C459" t="inlineStr">
        <is>
          <t>TX</t>
        </is>
      </c>
      <c r="D459" t="inlineStr">
        <is>
          <t>Metropolitan</t>
        </is>
      </c>
      <c r="E459" s="5" t="n">
        <v>3866</v>
      </c>
      <c r="F459" s="4" t="n">
        <v>0.5137092602172788</v>
      </c>
      <c r="G459" s="4" t="n">
        <v>0.5282511525681429</v>
      </c>
      <c r="H459" s="3" t="n">
        <v>68263040.84715313</v>
      </c>
      <c r="I459" s="3" t="n">
        <v>459358.366530925</v>
      </c>
      <c r="J459" s="4" t="n">
        <v>0.0067292397295846</v>
      </c>
      <c r="K459">
        <f>IF(AND(I459&gt;0,J459&gt;=Assumptions!$B$4),1,0)</f>
        <v/>
      </c>
      <c r="L459" s="3">
        <f>I459*K459</f>
        <v/>
      </c>
      <c r="M459">
        <f>SUM($K$2:K459)</f>
        <v/>
      </c>
    </row>
    <row r="460">
      <c r="A460" t="inlineStr">
        <is>
          <t>140053</t>
        </is>
      </c>
      <c r="B460" t="inlineStr">
        <is>
          <t>St Johns Hospital</t>
        </is>
      </c>
      <c r="C460" t="inlineStr">
        <is>
          <t>IL</t>
        </is>
      </c>
      <c r="D460" t="inlineStr">
        <is>
          <t>Metropolitan</t>
        </is>
      </c>
      <c r="E460" s="5" t="n">
        <v>3390</v>
      </c>
      <c r="F460" s="4" t="n">
        <v>0.5353982300884956</v>
      </c>
      <c r="G460" s="4" t="n">
        <v>0.5506715319215123</v>
      </c>
      <c r="H460" s="3" t="n">
        <v>60528699.37251333</v>
      </c>
      <c r="I460" s="3" t="n">
        <v>458629.6798569635</v>
      </c>
      <c r="J460" s="4" t="n">
        <v>0.0075770615362872</v>
      </c>
      <c r="K460">
        <f>IF(AND(I460&gt;0,J460&gt;=Assumptions!$B$4),1,0)</f>
        <v/>
      </c>
      <c r="L460" s="3">
        <f>I460*K460</f>
        <v/>
      </c>
      <c r="M460">
        <f>SUM($K$2:K460)</f>
        <v/>
      </c>
    </row>
    <row r="461">
      <c r="A461" t="inlineStr">
        <is>
          <t>190045</t>
        </is>
      </c>
      <c r="B461" t="inlineStr">
        <is>
          <t>St Tammany Parish Hospital</t>
        </is>
      </c>
      <c r="C461" t="inlineStr">
        <is>
          <t>LA</t>
        </is>
      </c>
      <c r="D461" t="inlineStr">
        <is>
          <t>Metropolitan</t>
        </is>
      </c>
      <c r="E461" s="5" t="n">
        <v>1574</v>
      </c>
      <c r="F461" s="4" t="n">
        <v>0.5076238881829733</v>
      </c>
      <c r="G461" s="4" t="n">
        <v>0.5518978882395263</v>
      </c>
      <c r="H461" s="3" t="n">
        <v>22477961.79650888</v>
      </c>
      <c r="I461" s="3" t="n">
        <v>458028.8586436771</v>
      </c>
      <c r="J461" s="4" t="n">
        <v>0.0203767967394096</v>
      </c>
      <c r="K461">
        <f>IF(AND(I461&gt;0,J461&gt;=Assumptions!$B$4),1,0)</f>
        <v/>
      </c>
      <c r="L461" s="3">
        <f>I461*K461</f>
        <v/>
      </c>
      <c r="M461">
        <f>SUM($K$2:K461)</f>
        <v/>
      </c>
    </row>
    <row r="462">
      <c r="A462" t="inlineStr">
        <is>
          <t>110161</t>
        </is>
      </c>
      <c r="B462" t="inlineStr">
        <is>
          <t>Northside Hospital</t>
        </is>
      </c>
      <c r="C462" t="inlineStr">
        <is>
          <t>GA</t>
        </is>
      </c>
      <c r="D462" t="inlineStr">
        <is>
          <t>Metropolitan</t>
        </is>
      </c>
      <c r="E462" s="5" t="n">
        <v>2214</v>
      </c>
      <c r="F462" s="4" t="n">
        <v>0.5460704607046071</v>
      </c>
      <c r="G462" s="4" t="n">
        <v>0.5323676247300164</v>
      </c>
      <c r="H462" s="3" t="n">
        <v>38786273.80233341</v>
      </c>
      <c r="I462" s="3" t="n">
        <v>457224.4062235504</v>
      </c>
      <c r="J462" s="4" t="n">
        <v>0.0117883045057048</v>
      </c>
      <c r="K462">
        <f>IF(AND(I462&gt;0,J462&gt;=Assumptions!$B$4),1,0)</f>
        <v/>
      </c>
      <c r="L462" s="3">
        <f>I462*K462</f>
        <v/>
      </c>
      <c r="M462">
        <f>SUM($K$2:K462)</f>
        <v/>
      </c>
    </row>
    <row r="463">
      <c r="A463" t="inlineStr">
        <is>
          <t>190004</t>
        </is>
      </c>
      <c r="B463" t="inlineStr">
        <is>
          <t>Thibodaux Regional Medical Center</t>
        </is>
      </c>
      <c r="C463" t="inlineStr">
        <is>
          <t>LA</t>
        </is>
      </c>
      <c r="D463" t="inlineStr">
        <is>
          <t>Metropolitan</t>
        </is>
      </c>
      <c r="E463" s="5" t="n">
        <v>773</v>
      </c>
      <c r="F463" s="4" t="n">
        <v>0.536869340232859</v>
      </c>
      <c r="G463" s="4" t="n">
        <v>0.5996484032815907</v>
      </c>
      <c r="H463" s="3" t="n">
        <v>10277274.18955906</v>
      </c>
      <c r="I463" s="3" t="n">
        <v>456854.3946541771</v>
      </c>
      <c r="J463" s="4" t="n">
        <v>0.0444528759501529</v>
      </c>
      <c r="K463">
        <f>IF(AND(I463&gt;0,J463&gt;=Assumptions!$B$4),1,0)</f>
        <v/>
      </c>
      <c r="L463" s="3">
        <f>I463*K463</f>
        <v/>
      </c>
      <c r="M463">
        <f>SUM($K$2:K463)</f>
        <v/>
      </c>
    </row>
    <row r="464">
      <c r="A464" t="inlineStr">
        <is>
          <t>340010</t>
        </is>
      </c>
      <c r="B464" t="inlineStr">
        <is>
          <t>Unc Health Wayne</t>
        </is>
      </c>
      <c r="C464" t="inlineStr">
        <is>
          <t>NC</t>
        </is>
      </c>
      <c r="D464" t="inlineStr">
        <is>
          <t>Metropolitan</t>
        </is>
      </c>
      <c r="E464" s="5" t="n">
        <v>1540</v>
      </c>
      <c r="F464" s="4" t="n">
        <v>0.5785714285714286</v>
      </c>
      <c r="G464" s="4" t="n">
        <v>0.6386932358341564</v>
      </c>
      <c r="H464" s="3" t="n">
        <v>20966535.94922254</v>
      </c>
      <c r="I464" s="3" t="n">
        <v>456455.5428591333</v>
      </c>
      <c r="J464" s="4" t="n">
        <v>0.0217706703656051</v>
      </c>
      <c r="K464">
        <f>IF(AND(I464&gt;0,J464&gt;=Assumptions!$B$4),1,0)</f>
        <v/>
      </c>
      <c r="L464" s="3">
        <f>I464*K464</f>
        <v/>
      </c>
      <c r="M464">
        <f>SUM($K$2:K464)</f>
        <v/>
      </c>
    </row>
    <row r="465">
      <c r="A465" t="inlineStr">
        <is>
          <t>520009</t>
        </is>
      </c>
      <c r="B465" t="inlineStr">
        <is>
          <t>Ascension Ne Wisconsin - St Elizabeth Campus</t>
        </is>
      </c>
      <c r="C465" t="inlineStr">
        <is>
          <t>WI</t>
        </is>
      </c>
      <c r="D465" t="inlineStr">
        <is>
          <t>Metropolitan</t>
        </is>
      </c>
      <c r="E465" s="5" t="n">
        <v>576</v>
      </c>
      <c r="F465" s="4" t="n">
        <v>0.5</v>
      </c>
      <c r="G465" s="4" t="n">
        <v>0.6019213942666265</v>
      </c>
      <c r="H465" s="3" t="n">
        <v>8879618.841863208</v>
      </c>
      <c r="I465" s="3" t="n">
        <v>450751.0313834045</v>
      </c>
      <c r="J465" s="4" t="n">
        <v>0.050762430168548</v>
      </c>
      <c r="K465">
        <f>IF(AND(I465&gt;0,J465&gt;=Assumptions!$B$4),1,0)</f>
        <v/>
      </c>
      <c r="L465" s="3">
        <f>I465*K465</f>
        <v/>
      </c>
      <c r="M465">
        <f>SUM($K$2:K465)</f>
        <v/>
      </c>
    </row>
    <row r="466">
      <c r="A466" t="inlineStr">
        <is>
          <t>100135</t>
        </is>
      </c>
      <c r="B466" t="inlineStr">
        <is>
          <t>Tallahassee Memorial Hospital</t>
        </is>
      </c>
      <c r="C466" t="inlineStr">
        <is>
          <t>FL</t>
        </is>
      </c>
      <c r="D466" t="inlineStr">
        <is>
          <t>Metropolitan</t>
        </is>
      </c>
      <c r="E466" s="5" t="n">
        <v>3079</v>
      </c>
      <c r="F466" s="4" t="n">
        <v>0.5115297174407275</v>
      </c>
      <c r="G466" s="4" t="n">
        <v>0.5263763575843758</v>
      </c>
      <c r="H466" s="3" t="n">
        <v>52812164.53507419</v>
      </c>
      <c r="I466" s="3" t="n">
        <v>446491.3698971346</v>
      </c>
      <c r="J466" s="4" t="n">
        <v>0.0084543281614713</v>
      </c>
      <c r="K466">
        <f>IF(AND(I466&gt;0,J466&gt;=Assumptions!$B$4),1,0)</f>
        <v/>
      </c>
      <c r="L466" s="3">
        <f>I466*K466</f>
        <v/>
      </c>
      <c r="M466">
        <f>SUM($K$2:K466)</f>
        <v/>
      </c>
    </row>
    <row r="467">
      <c r="A467" t="inlineStr">
        <is>
          <t>520049</t>
        </is>
      </c>
      <c r="B467" t="inlineStr">
        <is>
          <t>Bellin Memorial Hospital</t>
        </is>
      </c>
      <c r="C467" t="inlineStr">
        <is>
          <t>WI</t>
        </is>
      </c>
      <c r="D467" t="inlineStr">
        <is>
          <t>Metropolitan</t>
        </is>
      </c>
      <c r="E467" s="5" t="n">
        <v>532</v>
      </c>
      <c r="F467" s="4" t="n">
        <v>0.4060150375939849</v>
      </c>
      <c r="G467" s="4" t="n">
        <v>0.5081849525618221</v>
      </c>
      <c r="H467" s="3" t="n">
        <v>13895471.20826999</v>
      </c>
      <c r="I467" s="3" t="n">
        <v>445536.6446315739</v>
      </c>
      <c r="J467" s="4" t="n">
        <v>0.0320634426824194</v>
      </c>
      <c r="K467">
        <f>IF(AND(I467&gt;0,J467&gt;=Assumptions!$B$4),1,0)</f>
        <v/>
      </c>
      <c r="L467" s="3">
        <f>I467*K467</f>
        <v/>
      </c>
      <c r="M467">
        <f>SUM($K$2:K467)</f>
        <v/>
      </c>
    </row>
    <row r="468">
      <c r="A468" t="inlineStr">
        <is>
          <t>490120</t>
        </is>
      </c>
      <c r="B468" t="inlineStr">
        <is>
          <t>Chesapeake General Hospital</t>
        </is>
      </c>
      <c r="C468" t="inlineStr">
        <is>
          <t>VA</t>
        </is>
      </c>
      <c r="D468" t="inlineStr">
        <is>
          <t>Metropolitan</t>
        </is>
      </c>
      <c r="E468" s="5" t="n">
        <v>2966</v>
      </c>
      <c r="F468" s="4" t="n">
        <v>0.5836142953472691</v>
      </c>
      <c r="G468" s="4" t="n">
        <v>0.5805386701110119</v>
      </c>
      <c r="H468" s="3" t="n">
        <v>45292538.27246314</v>
      </c>
      <c r="I468" s="3" t="n">
        <v>444704.3111376315</v>
      </c>
      <c r="J468" s="4" t="n">
        <v>0.0098184894929591</v>
      </c>
      <c r="K468">
        <f>IF(AND(I468&gt;0,J468&gt;=Assumptions!$B$4),1,0)</f>
        <v/>
      </c>
      <c r="L468" s="3">
        <f>I468*K468</f>
        <v/>
      </c>
      <c r="M468">
        <f>SUM($K$2:K468)</f>
        <v/>
      </c>
    </row>
    <row r="469">
      <c r="A469" t="inlineStr">
        <is>
          <t>360098</t>
        </is>
      </c>
      <c r="B469" t="inlineStr">
        <is>
          <t>Lake Health</t>
        </is>
      </c>
      <c r="C469" t="inlineStr">
        <is>
          <t>OH</t>
        </is>
      </c>
      <c r="D469" t="inlineStr">
        <is>
          <t>Metropolitan</t>
        </is>
      </c>
      <c r="E469" s="5" t="n">
        <v>1791</v>
      </c>
      <c r="F469" s="4" t="n">
        <v>0.5907314349525404</v>
      </c>
      <c r="G469" s="4" t="n">
        <v>0.6189069641602125</v>
      </c>
      <c r="H469" s="3" t="n">
        <v>23825354.14461108</v>
      </c>
      <c r="I469" s="3" t="n">
        <v>442040.06816433</v>
      </c>
      <c r="J469" s="4" t="n">
        <v>0.0185533472233533</v>
      </c>
      <c r="K469">
        <f>IF(AND(I469&gt;0,J469&gt;=Assumptions!$B$4),1,0)</f>
        <v/>
      </c>
      <c r="L469" s="3">
        <f>I469*K469</f>
        <v/>
      </c>
      <c r="M469">
        <f>SUM($K$2:K469)</f>
        <v/>
      </c>
    </row>
    <row r="470">
      <c r="A470" t="inlineStr">
        <is>
          <t>240104</t>
        </is>
      </c>
      <c r="B470" t="inlineStr">
        <is>
          <t>St Francis Regional Medical Center</t>
        </is>
      </c>
      <c r="C470" t="inlineStr">
        <is>
          <t>MN</t>
        </is>
      </c>
      <c r="D470" t="inlineStr">
        <is>
          <t>Metropolitan</t>
        </is>
      </c>
      <c r="E470" s="5" t="n">
        <v>495</v>
      </c>
      <c r="F470" s="4" t="n">
        <v>0.4808080808080808</v>
      </c>
      <c r="G470" s="4" t="n">
        <v>0.6283351189259978</v>
      </c>
      <c r="H470" s="3" t="n">
        <v>7801494.059740359</v>
      </c>
      <c r="I470" s="3" t="n">
        <v>441074.0516966619</v>
      </c>
      <c r="J470" s="4" t="n">
        <v>0.0565371258785962</v>
      </c>
      <c r="K470">
        <f>IF(AND(I470&gt;0,J470&gt;=Assumptions!$B$4),1,0)</f>
        <v/>
      </c>
      <c r="L470" s="3">
        <f>I470*K470</f>
        <v/>
      </c>
      <c r="M470">
        <f>SUM($K$2:K470)</f>
        <v/>
      </c>
    </row>
    <row r="471">
      <c r="A471" t="inlineStr">
        <is>
          <t>290007</t>
        </is>
      </c>
      <c r="B471" t="inlineStr">
        <is>
          <t>University Medical Center</t>
        </is>
      </c>
      <c r="C471" t="inlineStr">
        <is>
          <t>NV</t>
        </is>
      </c>
      <c r="D471" t="inlineStr">
        <is>
          <t>Metropolitan</t>
        </is>
      </c>
      <c r="E471" s="5" t="n">
        <v>1524</v>
      </c>
      <c r="F471" s="4" t="n">
        <v>0.4908136482939632</v>
      </c>
      <c r="G471" s="4" t="n">
        <v>0.5548705455128268</v>
      </c>
      <c r="H471" s="3" t="n">
        <v>24418858.30483285</v>
      </c>
      <c r="I471" s="3" t="n">
        <v>438604.1703076437</v>
      </c>
      <c r="J471" s="4" t="n">
        <v>0.0179616984886159</v>
      </c>
      <c r="K471">
        <f>IF(AND(I471&gt;0,J471&gt;=Assumptions!$B$4),1,0)</f>
        <v/>
      </c>
      <c r="L471" s="3">
        <f>I471*K471</f>
        <v/>
      </c>
      <c r="M471">
        <f>SUM($K$2:K471)</f>
        <v/>
      </c>
    </row>
    <row r="472">
      <c r="A472" t="inlineStr">
        <is>
          <t>060010</t>
        </is>
      </c>
      <c r="B472" t="inlineStr">
        <is>
          <t>Poudre Valley Hospital</t>
        </is>
      </c>
      <c r="C472" t="inlineStr">
        <is>
          <t>CO</t>
        </is>
      </c>
      <c r="D472" t="inlineStr">
        <is>
          <t>Metropolitan</t>
        </is>
      </c>
      <c r="E472" s="5" t="n">
        <v>1626</v>
      </c>
      <c r="F472" s="4" t="n">
        <v>0.5584255842558425</v>
      </c>
      <c r="G472" s="4" t="n">
        <v>0.584212043914936</v>
      </c>
      <c r="H472" s="3" t="n">
        <v>24241453.99091918</v>
      </c>
      <c r="I472" s="3" t="n">
        <v>438486.2526327781</v>
      </c>
      <c r="J472" s="4" t="n">
        <v>0.0180882818661386</v>
      </c>
      <c r="K472">
        <f>IF(AND(I472&gt;0,J472&gt;=Assumptions!$B$4),1,0)</f>
        <v/>
      </c>
      <c r="L472" s="3">
        <f>I472*K472</f>
        <v/>
      </c>
      <c r="M472">
        <f>SUM($K$2:K472)</f>
        <v/>
      </c>
    </row>
    <row r="473">
      <c r="A473" t="inlineStr">
        <is>
          <t>140030</t>
        </is>
      </c>
      <c r="B473" t="inlineStr">
        <is>
          <t>Advocate Sherman Hospital</t>
        </is>
      </c>
      <c r="C473" t="inlineStr">
        <is>
          <t>IL</t>
        </is>
      </c>
      <c r="D473" t="inlineStr">
        <is>
          <t>Metropolitan</t>
        </is>
      </c>
      <c r="E473" s="5" t="n">
        <v>2568</v>
      </c>
      <c r="F473" s="4" t="n">
        <v>0.5307632398753894</v>
      </c>
      <c r="G473" s="4" t="n">
        <v>0.5590430295410374</v>
      </c>
      <c r="H473" s="3" t="n">
        <v>36383951.186304</v>
      </c>
      <c r="I473" s="3" t="n">
        <v>436613.2488920018</v>
      </c>
      <c r="J473" s="4" t="n">
        <v>0.0120001603634614</v>
      </c>
      <c r="K473">
        <f>IF(AND(I473&gt;0,J473&gt;=Assumptions!$B$4),1,0)</f>
        <v/>
      </c>
      <c r="L473" s="3">
        <f>I473*K473</f>
        <v/>
      </c>
      <c r="M473">
        <f>SUM($K$2:K473)</f>
        <v/>
      </c>
    </row>
    <row r="474">
      <c r="A474" t="inlineStr">
        <is>
          <t>370093</t>
        </is>
      </c>
      <c r="B474" t="inlineStr">
        <is>
          <t>O U Health University Of Oklahoma Medical Center</t>
        </is>
      </c>
      <c r="C474" t="inlineStr">
        <is>
          <t>OK</t>
        </is>
      </c>
      <c r="D474" t="inlineStr">
        <is>
          <t>Metropolitan</t>
        </is>
      </c>
      <c r="E474" s="5" t="n">
        <v>3650</v>
      </c>
      <c r="F474" s="4" t="n">
        <v>0.5273972602739726</v>
      </c>
      <c r="G474" s="4" t="n">
        <v>0.5335694428254161</v>
      </c>
      <c r="H474" s="3" t="n">
        <v>69785355.6931452</v>
      </c>
      <c r="I474" s="3" t="n">
        <v>436318.8776278794</v>
      </c>
      <c r="J474" s="4" t="n">
        <v>0.0062522985416371</v>
      </c>
      <c r="K474">
        <f>IF(AND(I474&gt;0,J474&gt;=Assumptions!$B$4),1,0)</f>
        <v/>
      </c>
      <c r="L474" s="3">
        <f>I474*K474</f>
        <v/>
      </c>
      <c r="M474">
        <f>SUM($K$2:K474)</f>
        <v/>
      </c>
    </row>
    <row r="475">
      <c r="A475" t="inlineStr">
        <is>
          <t>260052</t>
        </is>
      </c>
      <c r="B475" t="inlineStr">
        <is>
          <t>Mercy Hospital Washington</t>
        </is>
      </c>
      <c r="C475" t="inlineStr">
        <is>
          <t>MO</t>
        </is>
      </c>
      <c r="D475" t="inlineStr">
        <is>
          <t>Micropolitan</t>
        </is>
      </c>
      <c r="E475" s="5" t="n">
        <v>769</v>
      </c>
      <c r="F475" s="4" t="n">
        <v>0.6228868660598179</v>
      </c>
      <c r="G475" s="4" t="n">
        <v>0.6831110507650576</v>
      </c>
      <c r="H475" s="3" t="n">
        <v>10837957.5546443</v>
      </c>
      <c r="I475" s="3" t="n">
        <v>433715.9061041884</v>
      </c>
      <c r="J475" s="4" t="n">
        <v>0.0400182325791017</v>
      </c>
      <c r="K475">
        <f>IF(AND(I475&gt;0,J475&gt;=Assumptions!$B$4),1,0)</f>
        <v/>
      </c>
      <c r="L475" s="3">
        <f>I475*K475</f>
        <v/>
      </c>
      <c r="M475">
        <f>SUM($K$2:K475)</f>
        <v/>
      </c>
    </row>
    <row r="476">
      <c r="A476" t="inlineStr">
        <is>
          <t>170142</t>
        </is>
      </c>
      <c r="B476" t="inlineStr">
        <is>
          <t>Ascension Via Christi Hospital Manhattan, Inc</t>
        </is>
      </c>
      <c r="C476" t="inlineStr">
        <is>
          <t>KS</t>
        </is>
      </c>
      <c r="D476" t="inlineStr">
        <is>
          <t>Metropolitan</t>
        </is>
      </c>
      <c r="E476" s="5" t="n">
        <v>627</v>
      </c>
      <c r="F476" s="4" t="n">
        <v>0.5901116427432217</v>
      </c>
      <c r="G476" s="4" t="n">
        <v>0.6485615521706996</v>
      </c>
      <c r="H476" s="3" t="n">
        <v>9962228.693689669</v>
      </c>
      <c r="I476" s="3" t="n">
        <v>433449.1280358024</v>
      </c>
      <c r="J476" s="4" t="n">
        <v>0.0435092529355765</v>
      </c>
      <c r="K476">
        <f>IF(AND(I476&gt;0,J476&gt;=Assumptions!$B$4),1,0)</f>
        <v/>
      </c>
      <c r="L476" s="3">
        <f>I476*K476</f>
        <v/>
      </c>
      <c r="M476">
        <f>SUM($K$2:K476)</f>
        <v/>
      </c>
    </row>
    <row r="477">
      <c r="A477" t="inlineStr">
        <is>
          <t>270014</t>
        </is>
      </c>
      <c r="B477" t="inlineStr">
        <is>
          <t>St Patrick Hospital</t>
        </is>
      </c>
      <c r="C477" t="inlineStr">
        <is>
          <t>MT</t>
        </is>
      </c>
      <c r="D477" t="inlineStr">
        <is>
          <t>Metropolitan</t>
        </is>
      </c>
      <c r="E477" s="5" t="n">
        <v>2168</v>
      </c>
      <c r="F477" s="4" t="n">
        <v>0.5096863468634686</v>
      </c>
      <c r="G477" s="4" t="n">
        <v>0.512958419657678</v>
      </c>
      <c r="H477" s="3" t="n">
        <v>46437064.05111839</v>
      </c>
      <c r="I477" s="3" t="n">
        <v>432365.9601928294</v>
      </c>
      <c r="J477" s="4" t="n">
        <v>0.009310794492022</v>
      </c>
      <c r="K477">
        <f>IF(AND(I477&gt;0,J477&gt;=Assumptions!$B$4),1,0)</f>
        <v/>
      </c>
      <c r="L477" s="3">
        <f>I477*K477</f>
        <v/>
      </c>
      <c r="M477">
        <f>SUM($K$2:K477)</f>
        <v/>
      </c>
    </row>
    <row r="478">
      <c r="A478" t="inlineStr">
        <is>
          <t>140160</t>
        </is>
      </c>
      <c r="B478" t="inlineStr">
        <is>
          <t>Fhn Memorial Hospital</t>
        </is>
      </c>
      <c r="C478" t="inlineStr">
        <is>
          <t>IL</t>
        </is>
      </c>
      <c r="D478" t="inlineStr">
        <is>
          <t>Micropolitan</t>
        </is>
      </c>
      <c r="E478" s="5" t="n">
        <v>433</v>
      </c>
      <c r="F478" s="4" t="n">
        <v>0.418013856812933</v>
      </c>
      <c r="G478" s="4" t="n">
        <v>0.6328254041458078</v>
      </c>
      <c r="H478" s="3" t="n">
        <v>5302950.525828492</v>
      </c>
      <c r="I478" s="3" t="n">
        <v>430728.6926556071</v>
      </c>
      <c r="J478" s="4" t="n">
        <v>0.08122434681555191</v>
      </c>
      <c r="K478">
        <f>IF(AND(I478&gt;0,J478&gt;=Assumptions!$B$4),1,0)</f>
        <v/>
      </c>
      <c r="L478" s="3">
        <f>I478*K478</f>
        <v/>
      </c>
      <c r="M478">
        <f>SUM($K$2:K478)</f>
        <v/>
      </c>
    </row>
    <row r="479">
      <c r="A479" t="inlineStr">
        <is>
          <t>220090</t>
        </is>
      </c>
      <c r="B479" t="inlineStr">
        <is>
          <t>Milford Regional Medical Center</t>
        </is>
      </c>
      <c r="C479" t="inlineStr">
        <is>
          <t>MA</t>
        </is>
      </c>
      <c r="D479" t="inlineStr">
        <is>
          <t>Metropolitan</t>
        </is>
      </c>
      <c r="E479" s="5" t="n">
        <v>2683</v>
      </c>
      <c r="F479" s="4" t="n">
        <v>0.5825568393589265</v>
      </c>
      <c r="G479" s="4" t="n">
        <v>0.605863035104778</v>
      </c>
      <c r="H479" s="3" t="n">
        <v>34463739.52058711</v>
      </c>
      <c r="I479" s="3" t="n">
        <v>430034.5164237693</v>
      </c>
      <c r="J479" s="4" t="n">
        <v>0.0124778832014699</v>
      </c>
      <c r="K479">
        <f>IF(AND(I479&gt;0,J479&gt;=Assumptions!$B$4),1,0)</f>
        <v/>
      </c>
      <c r="L479" s="3">
        <f>I479*K479</f>
        <v/>
      </c>
      <c r="M479">
        <f>SUM($K$2:K479)</f>
        <v/>
      </c>
    </row>
    <row r="480">
      <c r="A480" t="inlineStr">
        <is>
          <t>220066</t>
        </is>
      </c>
      <c r="B480" t="inlineStr">
        <is>
          <t>Mercy Medical Ctr</t>
        </is>
      </c>
      <c r="C480" t="inlineStr">
        <is>
          <t>MA</t>
        </is>
      </c>
      <c r="D480" t="inlineStr">
        <is>
          <t>Metropolitan</t>
        </is>
      </c>
      <c r="E480" s="5" t="n">
        <v>1109</v>
      </c>
      <c r="F480" s="4" t="n">
        <v>0.5852119026149685</v>
      </c>
      <c r="G480" s="4" t="n">
        <v>0.6409009420774096</v>
      </c>
      <c r="H480" s="3" t="n">
        <v>15775452.00037357</v>
      </c>
      <c r="I480" s="3" t="n">
        <v>429496.5101890564</v>
      </c>
      <c r="J480" s="4" t="n">
        <v>0.0272256230869889</v>
      </c>
      <c r="K480">
        <f>IF(AND(I480&gt;0,J480&gt;=Assumptions!$B$4),1,0)</f>
        <v/>
      </c>
      <c r="L480" s="3">
        <f>I480*K480</f>
        <v/>
      </c>
      <c r="M480">
        <f>SUM($K$2:K480)</f>
        <v/>
      </c>
    </row>
    <row r="481">
      <c r="A481" t="inlineStr">
        <is>
          <t>330044</t>
        </is>
      </c>
      <c r="B481" t="inlineStr">
        <is>
          <t>Mvhs, Inc</t>
        </is>
      </c>
      <c r="C481" t="inlineStr">
        <is>
          <t>NY</t>
        </is>
      </c>
      <c r="D481" t="inlineStr">
        <is>
          <t>Metropolitan</t>
        </is>
      </c>
      <c r="E481" s="5" t="n">
        <v>1730</v>
      </c>
      <c r="F481" s="4" t="n">
        <v>0.5687861271676301</v>
      </c>
      <c r="G481" s="4" t="n">
        <v>0.6325903841327782</v>
      </c>
      <c r="H481" s="3" t="n">
        <v>23814634.92528544</v>
      </c>
      <c r="I481" s="3" t="n">
        <v>427415.3679376133</v>
      </c>
      <c r="J481" s="4" t="n">
        <v>0.0179475926999746</v>
      </c>
      <c r="K481">
        <f>IF(AND(I481&gt;0,J481&gt;=Assumptions!$B$4),1,0)</f>
        <v/>
      </c>
      <c r="L481" s="3">
        <f>I481*K481</f>
        <v/>
      </c>
      <c r="M481">
        <f>SUM($K$2:K481)</f>
        <v/>
      </c>
    </row>
    <row r="482">
      <c r="A482" t="inlineStr">
        <is>
          <t>360218</t>
        </is>
      </c>
      <c r="B482" t="inlineStr">
        <is>
          <t>Licking Memorial Hospital</t>
        </is>
      </c>
      <c r="C482" t="inlineStr">
        <is>
          <t>OH</t>
        </is>
      </c>
      <c r="D482" t="inlineStr">
        <is>
          <t>Metropolitan</t>
        </is>
      </c>
      <c r="E482" s="5" t="n">
        <v>1029</v>
      </c>
      <c r="F482" s="4" t="n">
        <v>0.5685131195335277</v>
      </c>
      <c r="G482" s="4" t="n">
        <v>0.6518185217807063</v>
      </c>
      <c r="H482" s="3" t="n">
        <v>13351981.30228878</v>
      </c>
      <c r="I482" s="3" t="n">
        <v>424852.0963968039</v>
      </c>
      <c r="J482" s="4" t="n">
        <v>0.031819404684455</v>
      </c>
      <c r="K482">
        <f>IF(AND(I482&gt;0,J482&gt;=Assumptions!$B$4),1,0)</f>
        <v/>
      </c>
      <c r="L482" s="3">
        <f>I482*K482</f>
        <v/>
      </c>
      <c r="M482">
        <f>SUM($K$2:K482)</f>
        <v/>
      </c>
    </row>
    <row r="483">
      <c r="A483" t="inlineStr">
        <is>
          <t>050689</t>
        </is>
      </c>
      <c r="B483" t="inlineStr">
        <is>
          <t>San Ramon Regional Medical Center</t>
        </is>
      </c>
      <c r="C483" t="inlineStr">
        <is>
          <t>CA</t>
        </is>
      </c>
      <c r="D483" t="inlineStr">
        <is>
          <t>Metropolitan</t>
        </is>
      </c>
      <c r="E483" s="5" t="n">
        <v>637</v>
      </c>
      <c r="F483" s="4" t="n">
        <v>0.5400313971742543</v>
      </c>
      <c r="G483" s="4" t="n">
        <v>0.6173197864053461</v>
      </c>
      <c r="H483" s="3" t="n">
        <v>9578966.463731265</v>
      </c>
      <c r="I483" s="3" t="n">
        <v>424238.6914443634</v>
      </c>
      <c r="J483" s="4" t="n">
        <v>0.0442885663135635</v>
      </c>
      <c r="K483">
        <f>IF(AND(I483&gt;0,J483&gt;=Assumptions!$B$4),1,0)</f>
        <v/>
      </c>
      <c r="L483" s="3">
        <f>I483*K483</f>
        <v/>
      </c>
      <c r="M483">
        <f>SUM($K$2:K483)</f>
        <v/>
      </c>
    </row>
    <row r="484">
      <c r="A484" t="inlineStr">
        <is>
          <t>100047</t>
        </is>
      </c>
      <c r="B484" t="inlineStr">
        <is>
          <t>Shorepoint Health Punta Gorda</t>
        </is>
      </c>
      <c r="C484" t="inlineStr">
        <is>
          <t>FL</t>
        </is>
      </c>
      <c r="D484" t="inlineStr">
        <is>
          <t>Metropolitan</t>
        </is>
      </c>
      <c r="E484" s="5" t="n">
        <v>648</v>
      </c>
      <c r="F484" s="4" t="n">
        <v>0.4953703703703703</v>
      </c>
      <c r="G484" s="4" t="n">
        <v>0.5957068189589234</v>
      </c>
      <c r="H484" s="3" t="n">
        <v>8507632.37372479</v>
      </c>
      <c r="I484" s="3" t="n">
        <v>422038.9568620008</v>
      </c>
      <c r="J484" s="4" t="n">
        <v>0.0496070984643668</v>
      </c>
      <c r="K484">
        <f>IF(AND(I484&gt;0,J484&gt;=Assumptions!$B$4),1,0)</f>
        <v/>
      </c>
      <c r="L484" s="3">
        <f>I484*K484</f>
        <v/>
      </c>
      <c r="M484">
        <f>SUM($K$2:K484)</f>
        <v/>
      </c>
    </row>
    <row r="485">
      <c r="A485" t="inlineStr">
        <is>
          <t>360091</t>
        </is>
      </c>
      <c r="B485" t="inlineStr">
        <is>
          <t>Medina Hospital</t>
        </is>
      </c>
      <c r="C485" t="inlineStr">
        <is>
          <t>OH</t>
        </is>
      </c>
      <c r="D485" t="inlineStr">
        <is>
          <t>Micropolitan</t>
        </is>
      </c>
      <c r="E485" s="5" t="n">
        <v>1410</v>
      </c>
      <c r="F485" s="4" t="n">
        <v>0.6063829787234043</v>
      </c>
      <c r="G485" s="4" t="n">
        <v>0.6419031663042956</v>
      </c>
      <c r="H485" s="3" t="n">
        <v>18388021.41025691</v>
      </c>
      <c r="I485" s="3" t="n">
        <v>421490.3502859473</v>
      </c>
      <c r="J485" s="4" t="n">
        <v>0.0229220067174186</v>
      </c>
      <c r="K485">
        <f>IF(AND(I485&gt;0,J485&gt;=Assumptions!$B$4),1,0)</f>
        <v/>
      </c>
      <c r="L485" s="3">
        <f>I485*K485</f>
        <v/>
      </c>
      <c r="M485">
        <f>SUM($K$2:K485)</f>
        <v/>
      </c>
    </row>
    <row r="486">
      <c r="A486" t="inlineStr">
        <is>
          <t>050254</t>
        </is>
      </c>
      <c r="B486" t="inlineStr">
        <is>
          <t>Marshall Medical Center</t>
        </is>
      </c>
      <c r="C486" t="inlineStr">
        <is>
          <t>CA</t>
        </is>
      </c>
      <c r="D486" t="inlineStr">
        <is>
          <t>Micropolitan</t>
        </is>
      </c>
      <c r="E486" s="5" t="n">
        <v>953</v>
      </c>
      <c r="F486" s="4" t="n">
        <v>0.5991605456453305</v>
      </c>
      <c r="G486" s="4" t="n">
        <v>0.6485207781851356</v>
      </c>
      <c r="H486" s="3" t="n">
        <v>12970044.25674352</v>
      </c>
      <c r="I486" s="3" t="n">
        <v>421208.7687629759</v>
      </c>
      <c r="J486" s="4" t="n">
        <v>0.0324755074404604</v>
      </c>
      <c r="K486">
        <f>IF(AND(I486&gt;0,J486&gt;=Assumptions!$B$4),1,0)</f>
        <v/>
      </c>
      <c r="L486" s="3">
        <f>I486*K486</f>
        <v/>
      </c>
      <c r="M486">
        <f>SUM($K$2:K486)</f>
        <v/>
      </c>
    </row>
    <row r="487">
      <c r="A487" t="inlineStr">
        <is>
          <t>500030</t>
        </is>
      </c>
      <c r="B487" t="inlineStr">
        <is>
          <t>Peacehealth St Joseph Medical Center</t>
        </is>
      </c>
      <c r="C487" t="inlineStr">
        <is>
          <t>WA</t>
        </is>
      </c>
      <c r="D487" t="inlineStr">
        <is>
          <t>Metropolitan</t>
        </is>
      </c>
      <c r="E487" s="5" t="n">
        <v>2940</v>
      </c>
      <c r="F487" s="4" t="n">
        <v>0.5357142857142857</v>
      </c>
      <c r="G487" s="4" t="n">
        <v>0.5489162883591893</v>
      </c>
      <c r="H487" s="3" t="n">
        <v>46905893.1824724</v>
      </c>
      <c r="I487" s="3" t="n">
        <v>419437.1897854507</v>
      </c>
      <c r="J487" s="4" t="n">
        <v>0.008942100050280699</v>
      </c>
      <c r="K487">
        <f>IF(AND(I487&gt;0,J487&gt;=Assumptions!$B$4),1,0)</f>
        <v/>
      </c>
      <c r="L487" s="3">
        <f>I487*K487</f>
        <v/>
      </c>
      <c r="M487">
        <f>SUM($K$2:K487)</f>
        <v/>
      </c>
    </row>
    <row r="488">
      <c r="A488" t="inlineStr">
        <is>
          <t>390086</t>
        </is>
      </c>
      <c r="B488" t="inlineStr">
        <is>
          <t>Penn Highlands Dubois</t>
        </is>
      </c>
      <c r="C488" t="inlineStr">
        <is>
          <t>PA</t>
        </is>
      </c>
      <c r="D488" t="inlineStr">
        <is>
          <t>Micropolitan</t>
        </is>
      </c>
      <c r="E488" s="5" t="n">
        <v>1255</v>
      </c>
      <c r="F488" s="4" t="n">
        <v>0.5243027888446216</v>
      </c>
      <c r="G488" s="4" t="n">
        <v>0.5819702617631791</v>
      </c>
      <c r="H488" s="3" t="n">
        <v>17045977.30632731</v>
      </c>
      <c r="I488" s="3" t="n">
        <v>417882.526245106</v>
      </c>
      <c r="J488" s="4" t="n">
        <v>0.0245150230306825</v>
      </c>
      <c r="K488">
        <f>IF(AND(I488&gt;0,J488&gt;=Assumptions!$B$4),1,0)</f>
        <v/>
      </c>
      <c r="L488" s="3">
        <f>I488*K488</f>
        <v/>
      </c>
      <c r="M488">
        <f>SUM($K$2:K488)</f>
        <v/>
      </c>
    </row>
    <row r="489">
      <c r="A489" t="inlineStr">
        <is>
          <t>490067</t>
        </is>
      </c>
      <c r="B489" t="inlineStr">
        <is>
          <t>Bon Secours Southside Medical Center</t>
        </is>
      </c>
      <c r="C489" t="inlineStr">
        <is>
          <t>VA</t>
        </is>
      </c>
      <c r="D489" t="inlineStr">
        <is>
          <t>Metropolitan</t>
        </is>
      </c>
      <c r="E489" s="5" t="n">
        <v>1968</v>
      </c>
      <c r="F489" s="4" t="n">
        <v>0.6346544715447154</v>
      </c>
      <c r="G489" s="4" t="n">
        <v>0.6491927098289088</v>
      </c>
      <c r="H489" s="3" t="n">
        <v>28025171.50886375</v>
      </c>
      <c r="I489" s="3" t="n">
        <v>417583.4909738414</v>
      </c>
      <c r="J489" s="4" t="n">
        <v>0.0149003009969722</v>
      </c>
      <c r="K489">
        <f>IF(AND(I489&gt;0,J489&gt;=Assumptions!$B$4),1,0)</f>
        <v/>
      </c>
      <c r="L489" s="3">
        <f>I489*K489</f>
        <v/>
      </c>
      <c r="M489">
        <f>SUM($K$2:K489)</f>
        <v/>
      </c>
    </row>
    <row r="490">
      <c r="A490" t="inlineStr">
        <is>
          <t>100260</t>
        </is>
      </c>
      <c r="B490" t="inlineStr">
        <is>
          <t>Hca Florida St Lucie Hospital</t>
        </is>
      </c>
      <c r="C490" t="inlineStr">
        <is>
          <t>FL</t>
        </is>
      </c>
      <c r="D490" t="inlineStr">
        <is>
          <t>Metropolitan</t>
        </is>
      </c>
      <c r="E490" s="5" t="n">
        <v>2229</v>
      </c>
      <c r="F490" s="4" t="n">
        <v>0.5114401076716016</v>
      </c>
      <c r="G490" s="4" t="n">
        <v>0.5590207072745486</v>
      </c>
      <c r="H490" s="3" t="n">
        <v>30586449.23954054</v>
      </c>
      <c r="I490" s="3" t="n">
        <v>417257.3288212158</v>
      </c>
      <c r="J490" s="4" t="n">
        <v>0.0136419015346772</v>
      </c>
      <c r="K490">
        <f>IF(AND(I490&gt;0,J490&gt;=Assumptions!$B$4),1,0)</f>
        <v/>
      </c>
      <c r="L490" s="3">
        <f>I490*K490</f>
        <v/>
      </c>
      <c r="M490">
        <f>SUM($K$2:K490)</f>
        <v/>
      </c>
    </row>
    <row r="491">
      <c r="A491" t="inlineStr">
        <is>
          <t>420067</t>
        </is>
      </c>
      <c r="B491" t="inlineStr">
        <is>
          <t>Beaufort County Memorial Hospital</t>
        </is>
      </c>
      <c r="C491" t="inlineStr">
        <is>
          <t>SC</t>
        </is>
      </c>
      <c r="D491" t="inlineStr">
        <is>
          <t>Micropolitan</t>
        </is>
      </c>
      <c r="E491" s="5" t="n">
        <v>1439</v>
      </c>
      <c r="F491" s="4" t="n">
        <v>0.5086865879082696</v>
      </c>
      <c r="G491" s="4" t="n">
        <v>0.5521139215528098</v>
      </c>
      <c r="H491" s="3" t="n">
        <v>19136922.55195074</v>
      </c>
      <c r="I491" s="3" t="n">
        <v>411918.0290018357</v>
      </c>
      <c r="J491" s="4" t="n">
        <v>0.0215247790172953</v>
      </c>
      <c r="K491">
        <f>IF(AND(I491&gt;0,J491&gt;=Assumptions!$B$4),1,0)</f>
        <v/>
      </c>
      <c r="L491" s="3">
        <f>I491*K491</f>
        <v/>
      </c>
      <c r="M491">
        <f>SUM($K$2:K491)</f>
        <v/>
      </c>
    </row>
    <row r="492">
      <c r="A492" t="inlineStr">
        <is>
          <t>330119</t>
        </is>
      </c>
      <c r="B492" t="inlineStr">
        <is>
          <t>Lenox Hill Hospital</t>
        </is>
      </c>
      <c r="C492" t="inlineStr">
        <is>
          <t>NY</t>
        </is>
      </c>
      <c r="D492" t="inlineStr">
        <is>
          <t>Metropolitan</t>
        </is>
      </c>
      <c r="E492" s="5" t="n">
        <v>3435</v>
      </c>
      <c r="F492" s="4" t="n">
        <v>0.5438136826783115</v>
      </c>
      <c r="G492" s="4" t="n">
        <v>0.5356671256555809</v>
      </c>
      <c r="H492" s="3" t="n">
        <v>69869895.17298993</v>
      </c>
      <c r="I492" s="3" t="n">
        <v>410920.4947660565</v>
      </c>
      <c r="J492" s="4" t="n">
        <v>0.0058812238625614</v>
      </c>
      <c r="K492">
        <f>IF(AND(I492&gt;0,J492&gt;=Assumptions!$B$4),1,0)</f>
        <v/>
      </c>
      <c r="L492" s="3">
        <f>I492*K492</f>
        <v/>
      </c>
      <c r="M492">
        <f>SUM($K$2:K492)</f>
        <v/>
      </c>
    </row>
    <row r="493">
      <c r="A493" t="inlineStr">
        <is>
          <t>060032</t>
        </is>
      </c>
      <c r="B493" t="inlineStr">
        <is>
          <t>Rose Medical Center</t>
        </is>
      </c>
      <c r="C493" t="inlineStr">
        <is>
          <t>CO</t>
        </is>
      </c>
      <c r="D493" t="inlineStr">
        <is>
          <t>Metropolitan</t>
        </is>
      </c>
      <c r="E493" s="5" t="n">
        <v>570</v>
      </c>
      <c r="F493" s="4" t="n">
        <v>0.6543859649122807</v>
      </c>
      <c r="G493" s="4" t="n">
        <v>0.6377052829544108</v>
      </c>
      <c r="H493" s="3" t="n">
        <v>9430029.201217489</v>
      </c>
      <c r="I493" s="3" t="n">
        <v>410893.5939094052</v>
      </c>
      <c r="J493" s="4" t="n">
        <v>0.0435728866943864</v>
      </c>
      <c r="K493">
        <f>IF(AND(I493&gt;0,J493&gt;=Assumptions!$B$4),1,0)</f>
        <v/>
      </c>
      <c r="L493" s="3">
        <f>I493*K493</f>
        <v/>
      </c>
      <c r="M493">
        <f>SUM($K$2:K493)</f>
        <v/>
      </c>
    </row>
    <row r="494">
      <c r="A494" t="inlineStr">
        <is>
          <t>200033</t>
        </is>
      </c>
      <c r="B494" t="inlineStr">
        <is>
          <t>Northern Light Eastern Maine Medical Center</t>
        </is>
      </c>
      <c r="C494" t="inlineStr">
        <is>
          <t>ME</t>
        </is>
      </c>
      <c r="D494" t="inlineStr">
        <is>
          <t>Metropolitan</t>
        </is>
      </c>
      <c r="E494" s="5" t="n">
        <v>2177</v>
      </c>
      <c r="F494" s="4" t="n">
        <v>0.5424896646761599</v>
      </c>
      <c r="G494" s="4" t="n">
        <v>0.5556284025583369</v>
      </c>
      <c r="H494" s="3" t="n">
        <v>40224625.74030932</v>
      </c>
      <c r="I494" s="3" t="n">
        <v>410141.2607830092</v>
      </c>
      <c r="J494" s="4" t="n">
        <v>0.0101962728859402</v>
      </c>
      <c r="K494">
        <f>IF(AND(I494&gt;0,J494&gt;=Assumptions!$B$4),1,0)</f>
        <v/>
      </c>
      <c r="L494" s="3">
        <f>I494*K494</f>
        <v/>
      </c>
      <c r="M494">
        <f>SUM($K$2:K494)</f>
        <v/>
      </c>
    </row>
    <row r="495">
      <c r="A495" t="inlineStr">
        <is>
          <t>210015</t>
        </is>
      </c>
      <c r="B495" t="inlineStr">
        <is>
          <t>Medstar Franklin Square Medical Center</t>
        </is>
      </c>
      <c r="C495" t="inlineStr">
        <is>
          <t>MD</t>
        </is>
      </c>
      <c r="D495" t="inlineStr">
        <is>
          <t>Metropolitan</t>
        </is>
      </c>
      <c r="E495" s="5" t="n">
        <v>4532</v>
      </c>
      <c r="F495" s="4" t="n">
        <v>0.6041482789055604</v>
      </c>
      <c r="G495" s="4" t="n">
        <v>0.6201408439792367</v>
      </c>
      <c r="H495" s="3" t="n">
        <v>67623767.65255804</v>
      </c>
      <c r="I495" s="3" t="n">
        <v>408966.7049804777</v>
      </c>
      <c r="J495" s="4" t="n">
        <v>0.0060476770102738</v>
      </c>
      <c r="K495">
        <f>IF(AND(I495&gt;0,J495&gt;=Assumptions!$B$4),1,0)</f>
        <v/>
      </c>
      <c r="L495" s="3">
        <f>I495*K495</f>
        <v/>
      </c>
      <c r="M495">
        <f>SUM($K$2:K495)</f>
        <v/>
      </c>
    </row>
    <row r="496">
      <c r="A496" t="inlineStr">
        <is>
          <t>530012</t>
        </is>
      </c>
      <c r="B496" t="inlineStr">
        <is>
          <t>Wyoming Medical Center</t>
        </is>
      </c>
      <c r="C496" t="inlineStr">
        <is>
          <t>WY</t>
        </is>
      </c>
      <c r="D496" t="inlineStr">
        <is>
          <t>Metropolitan</t>
        </is>
      </c>
      <c r="E496" s="5" t="n">
        <v>1978</v>
      </c>
      <c r="F496" s="4" t="n">
        <v>0.5788675429726997</v>
      </c>
      <c r="G496" s="4" t="n">
        <v>0.5912064416570584</v>
      </c>
      <c r="H496" s="3" t="n">
        <v>31534116.2462749</v>
      </c>
      <c r="I496" s="3" t="n">
        <v>408907.6593813896</v>
      </c>
      <c r="J496" s="4" t="n">
        <v>0.0129671513920956</v>
      </c>
      <c r="K496">
        <f>IF(AND(I496&gt;0,J496&gt;=Assumptions!$B$4),1,0)</f>
        <v/>
      </c>
      <c r="L496" s="3">
        <f>I496*K496</f>
        <v/>
      </c>
      <c r="M496">
        <f>SUM($K$2:K496)</f>
        <v/>
      </c>
    </row>
    <row r="497">
      <c r="A497" t="inlineStr">
        <is>
          <t>100043</t>
        </is>
      </c>
      <c r="B497" t="inlineStr">
        <is>
          <t>Mease Dunedin Hospital</t>
        </is>
      </c>
      <c r="C497" t="inlineStr">
        <is>
          <t>FL</t>
        </is>
      </c>
      <c r="D497" t="inlineStr">
        <is>
          <t>Metropolitan</t>
        </is>
      </c>
      <c r="E497" s="5" t="n">
        <v>659</v>
      </c>
      <c r="F497" s="4" t="n">
        <v>0.5220030349013657</v>
      </c>
      <c r="G497" s="4" t="n">
        <v>0.6410944516813444</v>
      </c>
      <c r="H497" s="3" t="n">
        <v>9220921.477127252</v>
      </c>
      <c r="I497" s="3" t="n">
        <v>408133.9402898103</v>
      </c>
      <c r="J497" s="4" t="n">
        <v>0.0442617303815239</v>
      </c>
      <c r="K497">
        <f>IF(AND(I497&gt;0,J497&gt;=Assumptions!$B$4),1,0)</f>
        <v/>
      </c>
      <c r="L497" s="3">
        <f>I497*K497</f>
        <v/>
      </c>
      <c r="M497">
        <f>SUM($K$2:K497)</f>
        <v/>
      </c>
    </row>
    <row r="498">
      <c r="A498" t="inlineStr">
        <is>
          <t>030043</t>
        </is>
      </c>
      <c r="B498" t="inlineStr">
        <is>
          <t>Canyon Vista Medical Center</t>
        </is>
      </c>
      <c r="C498" t="inlineStr">
        <is>
          <t>AZ</t>
        </is>
      </c>
      <c r="D498" t="inlineStr">
        <is>
          <t>Metropolitan</t>
        </is>
      </c>
      <c r="E498" s="5" t="n">
        <v>672</v>
      </c>
      <c r="F498" s="4" t="n">
        <v>0.5952380952380952</v>
      </c>
      <c r="G498" s="4" t="n">
        <v>0.6812981545191457</v>
      </c>
      <c r="H498" s="3" t="n">
        <v>9518302.382824373</v>
      </c>
      <c r="I498" s="3" t="n">
        <v>408019.568043638</v>
      </c>
      <c r="J498" s="4" t="n">
        <v>0.0428668423877668</v>
      </c>
      <c r="K498">
        <f>IF(AND(I498&gt;0,J498&gt;=Assumptions!$B$4),1,0)</f>
        <v/>
      </c>
      <c r="L498" s="3">
        <f>I498*K498</f>
        <v/>
      </c>
      <c r="M498">
        <f>SUM($K$2:K498)</f>
        <v/>
      </c>
    </row>
    <row r="499">
      <c r="A499" t="inlineStr">
        <is>
          <t>340090</t>
        </is>
      </c>
      <c r="B499" t="inlineStr">
        <is>
          <t>Johnston Health</t>
        </is>
      </c>
      <c r="C499" t="inlineStr">
        <is>
          <t>NC</t>
        </is>
      </c>
      <c r="D499" t="inlineStr">
        <is>
          <t>Micropolitan</t>
        </is>
      </c>
      <c r="E499" s="5" t="n">
        <v>1716</v>
      </c>
      <c r="F499" s="4" t="n">
        <v>0.5413752913752914</v>
      </c>
      <c r="G499" s="4" t="n">
        <v>0.5950821287005608</v>
      </c>
      <c r="H499" s="3" t="n">
        <v>22482783.19271194</v>
      </c>
      <c r="I499" s="3" t="n">
        <v>407709.891092889</v>
      </c>
      <c r="J499" s="4" t="n">
        <v>0.0181343158272794</v>
      </c>
      <c r="K499">
        <f>IF(AND(I499&gt;0,J499&gt;=Assumptions!$B$4),1,0)</f>
        <v/>
      </c>
      <c r="L499" s="3">
        <f>I499*K499</f>
        <v/>
      </c>
      <c r="M499">
        <f>SUM($K$2:K499)</f>
        <v/>
      </c>
    </row>
    <row r="500">
      <c r="A500" t="inlineStr">
        <is>
          <t>050131</t>
        </is>
      </c>
      <c r="B500" t="inlineStr">
        <is>
          <t>Novato Community Hospital</t>
        </is>
      </c>
      <c r="C500" t="inlineStr">
        <is>
          <t>CA</t>
        </is>
      </c>
      <c r="D500" t="inlineStr">
        <is>
          <t>Metropolitan</t>
        </is>
      </c>
      <c r="E500" s="5" t="n">
        <v>392</v>
      </c>
      <c r="F500" s="4" t="n">
        <v>0.6454081632653061</v>
      </c>
      <c r="G500" s="4" t="n">
        <v>0.7364159609529225</v>
      </c>
      <c r="H500" s="3" t="n">
        <v>6272192.576550413</v>
      </c>
      <c r="I500" s="3" t="n">
        <v>407419.0260784179</v>
      </c>
      <c r="J500" s="4" t="n">
        <v>0.0649563962053108</v>
      </c>
      <c r="K500">
        <f>IF(AND(I500&gt;0,J500&gt;=Assumptions!$B$4),1,0)</f>
        <v/>
      </c>
      <c r="L500" s="3">
        <f>I500*K500</f>
        <v/>
      </c>
      <c r="M500">
        <f>SUM($K$2:K500)</f>
        <v/>
      </c>
    </row>
    <row r="501">
      <c r="A501" t="inlineStr">
        <is>
          <t>360058</t>
        </is>
      </c>
      <c r="B501" t="inlineStr">
        <is>
          <t>Mercer County Joint Township Community Hospital</t>
        </is>
      </c>
      <c r="C501" t="inlineStr">
        <is>
          <t>OH</t>
        </is>
      </c>
      <c r="D501" t="inlineStr">
        <is>
          <t>Small town</t>
        </is>
      </c>
      <c r="E501" s="5" t="n">
        <v>382</v>
      </c>
      <c r="F501" s="4" t="n">
        <v>0.3979057591623036</v>
      </c>
      <c r="G501" s="4" t="n">
        <v>0.622050664584898</v>
      </c>
      <c r="H501" s="3" t="n">
        <v>4152671.795015009</v>
      </c>
      <c r="I501" s="3" t="n">
        <v>405814.8694367544</v>
      </c>
      <c r="J501" s="4" t="n">
        <v>0.097723800355209</v>
      </c>
      <c r="K501">
        <f>IF(AND(I501&gt;0,J501&gt;=Assumptions!$B$4),1,0)</f>
        <v/>
      </c>
      <c r="L501" s="3">
        <f>I501*K501</f>
        <v/>
      </c>
      <c r="M501">
        <f>SUM($K$2:K501)</f>
        <v/>
      </c>
    </row>
    <row r="502">
      <c r="A502" t="inlineStr">
        <is>
          <t>130003</t>
        </is>
      </c>
      <c r="B502" t="inlineStr">
        <is>
          <t>St Joseph Regional Medical Center</t>
        </is>
      </c>
      <c r="C502" t="inlineStr">
        <is>
          <t>ID</t>
        </is>
      </c>
      <c r="D502" t="inlineStr">
        <is>
          <t>Metropolitan</t>
        </is>
      </c>
      <c r="E502" s="5" t="n">
        <v>561</v>
      </c>
      <c r="F502" s="4" t="n">
        <v>0.6256684491978609</v>
      </c>
      <c r="G502" s="4" t="n">
        <v>0.6496157624253797</v>
      </c>
      <c r="H502" s="3" t="n">
        <v>9357539.821008708</v>
      </c>
      <c r="I502" s="3" t="n">
        <v>405110.57029346</v>
      </c>
      <c r="J502" s="4" t="n">
        <v>0.0432924227994138</v>
      </c>
      <c r="K502">
        <f>IF(AND(I502&gt;0,J502&gt;=Assumptions!$B$4),1,0)</f>
        <v/>
      </c>
      <c r="L502" s="3">
        <f>I502*K502</f>
        <v/>
      </c>
      <c r="M502">
        <f>SUM($K$2:K502)</f>
        <v/>
      </c>
    </row>
    <row r="503">
      <c r="A503" t="inlineStr">
        <is>
          <t>380075</t>
        </is>
      </c>
      <c r="B503" t="inlineStr">
        <is>
          <t>Providence Medford Medical Center</t>
        </is>
      </c>
      <c r="C503" t="inlineStr">
        <is>
          <t>OR</t>
        </is>
      </c>
      <c r="D503" t="inlineStr">
        <is>
          <t>Metropolitan</t>
        </is>
      </c>
      <c r="E503" s="5" t="n">
        <v>785</v>
      </c>
      <c r="F503" s="4" t="n">
        <v>0.6369426751592356</v>
      </c>
      <c r="G503" s="4" t="n">
        <v>0.6118248856171176</v>
      </c>
      <c r="H503" s="3" t="n">
        <v>14610734.93416142</v>
      </c>
      <c r="I503" s="3" t="n">
        <v>402851.7036930844</v>
      </c>
      <c r="J503" s="4" t="n">
        <v>0.0275723093676263</v>
      </c>
      <c r="K503">
        <f>IF(AND(I503&gt;0,J503&gt;=Assumptions!$B$4),1,0)</f>
        <v/>
      </c>
      <c r="L503" s="3">
        <f>I503*K503</f>
        <v/>
      </c>
      <c r="M503">
        <f>SUM($K$2:K503)</f>
        <v/>
      </c>
    </row>
    <row r="504">
      <c r="A504" t="inlineStr">
        <is>
          <t>140186</t>
        </is>
      </c>
      <c r="B504" t="inlineStr">
        <is>
          <t>Riverside Medical Center</t>
        </is>
      </c>
      <c r="C504" t="inlineStr">
        <is>
          <t>IL</t>
        </is>
      </c>
      <c r="D504" t="inlineStr">
        <is>
          <t>Metropolitan</t>
        </is>
      </c>
      <c r="E504" s="5" t="n">
        <v>1508</v>
      </c>
      <c r="F504" s="4" t="n">
        <v>0.620026525198939</v>
      </c>
      <c r="G504" s="4" t="n">
        <v>0.6490350598735523</v>
      </c>
      <c r="H504" s="3" t="n">
        <v>23375885.46514196</v>
      </c>
      <c r="I504" s="3" t="n">
        <v>402711.0284067951</v>
      </c>
      <c r="J504" s="4" t="n">
        <v>0.0172276266927863</v>
      </c>
      <c r="K504">
        <f>IF(AND(I504&gt;0,J504&gt;=Assumptions!$B$4),1,0)</f>
        <v/>
      </c>
      <c r="L504" s="3">
        <f>I504*K504</f>
        <v/>
      </c>
      <c r="M504">
        <f>SUM($K$2:K504)</f>
        <v/>
      </c>
    </row>
    <row r="505">
      <c r="A505" t="inlineStr">
        <is>
          <t>050242</t>
        </is>
      </c>
      <c r="B505" t="inlineStr">
        <is>
          <t>Dominican Hospital</t>
        </is>
      </c>
      <c r="C505" t="inlineStr">
        <is>
          <t>CA</t>
        </is>
      </c>
      <c r="D505" t="inlineStr">
        <is>
          <t>Metropolitan</t>
        </is>
      </c>
      <c r="E505" s="5" t="n">
        <v>2603</v>
      </c>
      <c r="F505" s="4" t="n">
        <v>0.6200537840952747</v>
      </c>
      <c r="G505" s="4" t="n">
        <v>0.6270045807337044</v>
      </c>
      <c r="H505" s="3" t="n">
        <v>40494763.21900173</v>
      </c>
      <c r="I505" s="3" t="n">
        <v>401512.0186029002</v>
      </c>
      <c r="J505" s="4" t="n">
        <v>0.009915159064678601</v>
      </c>
      <c r="K505">
        <f>IF(AND(I505&gt;0,J505&gt;=Assumptions!$B$4),1,0)</f>
        <v/>
      </c>
      <c r="L505" s="3">
        <f>I505*K505</f>
        <v/>
      </c>
      <c r="M505">
        <f>SUM($K$2:K505)</f>
        <v/>
      </c>
    </row>
    <row r="506">
      <c r="A506" t="inlineStr">
        <is>
          <t>490041</t>
        </is>
      </c>
      <c r="B506" t="inlineStr">
        <is>
          <t>Bon Secours Mary Immaculate Hospital</t>
        </is>
      </c>
      <c r="C506" t="inlineStr">
        <is>
          <t>VA</t>
        </is>
      </c>
      <c r="D506" t="inlineStr">
        <is>
          <t>Metropolitan</t>
        </is>
      </c>
      <c r="E506" s="5" t="n">
        <v>507</v>
      </c>
      <c r="F506" s="4" t="n">
        <v>0.5088757396449705</v>
      </c>
      <c r="G506" s="4" t="n">
        <v>0.5921907656740186</v>
      </c>
      <c r="H506" s="3" t="n">
        <v>7581043.831855835</v>
      </c>
      <c r="I506" s="3" t="n">
        <v>401442.7569334796</v>
      </c>
      <c r="J506" s="4" t="n">
        <v>0.0529534937189786</v>
      </c>
      <c r="K506">
        <f>IF(AND(I506&gt;0,J506&gt;=Assumptions!$B$4),1,0)</f>
        <v/>
      </c>
      <c r="L506" s="3">
        <f>I506*K506</f>
        <v/>
      </c>
      <c r="M506">
        <f>SUM($K$2:K506)</f>
        <v/>
      </c>
    </row>
    <row r="507">
      <c r="A507" t="inlineStr">
        <is>
          <t>140054</t>
        </is>
      </c>
      <c r="B507" t="inlineStr">
        <is>
          <t>Macneal  Hospital</t>
        </is>
      </c>
      <c r="C507" t="inlineStr">
        <is>
          <t>IL</t>
        </is>
      </c>
      <c r="D507" t="inlineStr">
        <is>
          <t>Metropolitan</t>
        </is>
      </c>
      <c r="E507" s="5" t="n">
        <v>1003</v>
      </c>
      <c r="F507" s="4" t="n">
        <v>0.5453639082751744</v>
      </c>
      <c r="G507" s="4" t="n">
        <v>0.6195115462735383</v>
      </c>
      <c r="H507" s="3" t="n">
        <v>13143654.22022656</v>
      </c>
      <c r="I507" s="3" t="n">
        <v>400834.9504086413</v>
      </c>
      <c r="J507" s="4" t="n">
        <v>0.0304964619193802</v>
      </c>
      <c r="K507">
        <f>IF(AND(I507&gt;0,J507&gt;=Assumptions!$B$4),1,0)</f>
        <v/>
      </c>
      <c r="L507" s="3">
        <f>I507*K507</f>
        <v/>
      </c>
      <c r="M507">
        <f>SUM($K$2:K507)</f>
        <v/>
      </c>
    </row>
    <row r="508">
      <c r="A508" t="inlineStr">
        <is>
          <t>280132</t>
        </is>
      </c>
      <c r="B508" t="inlineStr">
        <is>
          <t>Bellevue Medical Center, Llc</t>
        </is>
      </c>
      <c r="C508" t="inlineStr">
        <is>
          <t>NE</t>
        </is>
      </c>
      <c r="D508" t="inlineStr">
        <is>
          <t>Metropolitan</t>
        </is>
      </c>
      <c r="E508" s="5" t="n">
        <v>1183</v>
      </c>
      <c r="F508" s="4" t="n">
        <v>0.408284023668639</v>
      </c>
      <c r="G508" s="4" t="n">
        <v>0.5240038915987943</v>
      </c>
      <c r="H508" s="3" t="n">
        <v>15945375.47657068</v>
      </c>
      <c r="I508" s="3" t="n">
        <v>400076.4397880081</v>
      </c>
      <c r="J508" s="4" t="n">
        <v>0.0250904370596891</v>
      </c>
      <c r="K508">
        <f>IF(AND(I508&gt;0,J508&gt;=Assumptions!$B$4),1,0)</f>
        <v/>
      </c>
      <c r="L508" s="3">
        <f>I508*K508</f>
        <v/>
      </c>
      <c r="M508">
        <f>SUM($K$2:K508)</f>
        <v/>
      </c>
    </row>
    <row r="509">
      <c r="A509" t="inlineStr">
        <is>
          <t>170016</t>
        </is>
      </c>
      <c r="B509" t="inlineStr">
        <is>
          <t>University Of Kansas Hlth System St Francis Campus</t>
        </is>
      </c>
      <c r="C509" t="inlineStr">
        <is>
          <t>KS</t>
        </is>
      </c>
      <c r="D509" t="inlineStr">
        <is>
          <t>Metropolitan</t>
        </is>
      </c>
      <c r="E509" s="5" t="n">
        <v>1358</v>
      </c>
      <c r="F509" s="4" t="n">
        <v>0.5670103092783505</v>
      </c>
      <c r="G509" s="4" t="n">
        <v>0.5791945625113168</v>
      </c>
      <c r="H509" s="3" t="n">
        <v>19668745.63494032</v>
      </c>
      <c r="I509" s="3" t="n">
        <v>398503.1004756391</v>
      </c>
      <c r="J509" s="4" t="n">
        <v>0.0202607277490905</v>
      </c>
      <c r="K509">
        <f>IF(AND(I509&gt;0,J509&gt;=Assumptions!$B$4),1,0)</f>
        <v/>
      </c>
      <c r="L509" s="3">
        <f>I509*K509</f>
        <v/>
      </c>
      <c r="M509">
        <f>SUM($K$2:K509)</f>
        <v/>
      </c>
    </row>
    <row r="510">
      <c r="A510" t="inlineStr">
        <is>
          <t>250019</t>
        </is>
      </c>
      <c r="B510" t="inlineStr">
        <is>
          <t>Memorial Hospital At Gulfport</t>
        </is>
      </c>
      <c r="C510" t="inlineStr">
        <is>
          <t>MS</t>
        </is>
      </c>
      <c r="D510" t="inlineStr">
        <is>
          <t>Metropolitan</t>
        </is>
      </c>
      <c r="E510" s="5" t="n">
        <v>2992</v>
      </c>
      <c r="F510" s="4" t="n">
        <v>0.5825534759358288</v>
      </c>
      <c r="G510" s="4" t="n">
        <v>0.5909882710025736</v>
      </c>
      <c r="H510" s="3" t="n">
        <v>42963979.63555811</v>
      </c>
      <c r="I510" s="3" t="n">
        <v>394946.6967757046</v>
      </c>
      <c r="J510" s="4" t="n">
        <v>0.0091925073078853</v>
      </c>
      <c r="K510">
        <f>IF(AND(I510&gt;0,J510&gt;=Assumptions!$B$4),1,0)</f>
        <v/>
      </c>
      <c r="L510" s="3">
        <f>I510*K510</f>
        <v/>
      </c>
      <c r="M510">
        <f>SUM($K$2:K510)</f>
        <v/>
      </c>
    </row>
    <row r="511">
      <c r="A511" t="inlineStr">
        <is>
          <t>520139</t>
        </is>
      </c>
      <c r="B511" t="inlineStr">
        <is>
          <t>Aurora West Allis Medical Center</t>
        </is>
      </c>
      <c r="C511" t="inlineStr">
        <is>
          <t>WI</t>
        </is>
      </c>
      <c r="D511" t="inlineStr">
        <is>
          <t>Metropolitan</t>
        </is>
      </c>
      <c r="E511" s="5" t="n">
        <v>1006</v>
      </c>
      <c r="F511" s="4" t="n">
        <v>0.5994035785288271</v>
      </c>
      <c r="G511" s="4" t="n">
        <v>0.6260629809082717</v>
      </c>
      <c r="H511" s="3" t="n">
        <v>13348445.53878006</v>
      </c>
      <c r="I511" s="3" t="n">
        <v>394789.4905480072</v>
      </c>
      <c r="J511" s="4" t="n">
        <v>0.0295756902480562</v>
      </c>
      <c r="K511">
        <f>IF(AND(I511&gt;0,J511&gt;=Assumptions!$B$4),1,0)</f>
        <v/>
      </c>
      <c r="L511" s="3">
        <f>I511*K511</f>
        <v/>
      </c>
      <c r="M511">
        <f>SUM($K$2:K511)</f>
        <v/>
      </c>
    </row>
    <row r="512">
      <c r="A512" t="inlineStr">
        <is>
          <t>100287</t>
        </is>
      </c>
      <c r="B512" t="inlineStr">
        <is>
          <t>Good Samaritan Medical Center</t>
        </is>
      </c>
      <c r="C512" t="inlineStr">
        <is>
          <t>FL</t>
        </is>
      </c>
      <c r="D512" t="inlineStr">
        <is>
          <t>Metropolitan</t>
        </is>
      </c>
      <c r="E512" s="5" t="n">
        <v>1221</v>
      </c>
      <c r="F512" s="4" t="n">
        <v>0.5012285012285013</v>
      </c>
      <c r="G512" s="4" t="n">
        <v>0.5649641356426761</v>
      </c>
      <c r="H512" s="3" t="n">
        <v>19406929.62570547</v>
      </c>
      <c r="I512" s="3" t="n">
        <v>392262.7688859105</v>
      </c>
      <c r="J512" s="4" t="n">
        <v>0.0202125105027607</v>
      </c>
      <c r="K512">
        <f>IF(AND(I512&gt;0,J512&gt;=Assumptions!$B$4),1,0)</f>
        <v/>
      </c>
      <c r="L512" s="3">
        <f>I512*K512</f>
        <v/>
      </c>
      <c r="M512">
        <f>SUM($K$2:K512)</f>
        <v/>
      </c>
    </row>
    <row r="513">
      <c r="A513" t="inlineStr">
        <is>
          <t>260200</t>
        </is>
      </c>
      <c r="B513" t="inlineStr">
        <is>
          <t>Ssm Health St Joseph Hospital-Lake Saint Louis</t>
        </is>
      </c>
      <c r="C513" t="inlineStr">
        <is>
          <t>MO</t>
        </is>
      </c>
      <c r="D513" t="inlineStr">
        <is>
          <t>Metropolitan</t>
        </is>
      </c>
      <c r="E513" s="5" t="n">
        <v>1551</v>
      </c>
      <c r="F513" s="4" t="n">
        <v>0.5409413281753708</v>
      </c>
      <c r="G513" s="4" t="n">
        <v>0.570986442889548</v>
      </c>
      <c r="H513" s="3" t="n">
        <v>20671443.05476116</v>
      </c>
      <c r="I513" s="3" t="n">
        <v>391292.9852280505</v>
      </c>
      <c r="J513" s="4" t="n">
        <v>0.0189291567207701</v>
      </c>
      <c r="K513">
        <f>IF(AND(I513&gt;0,J513&gt;=Assumptions!$B$4),1,0)</f>
        <v/>
      </c>
      <c r="L513" s="3">
        <f>I513*K513</f>
        <v/>
      </c>
      <c r="M513">
        <f>SUM($K$2:K513)</f>
        <v/>
      </c>
    </row>
    <row r="514">
      <c r="A514" t="inlineStr">
        <is>
          <t>050110</t>
        </is>
      </c>
      <c r="B514" t="inlineStr">
        <is>
          <t>Lompoc Valley Medical Center</t>
        </is>
      </c>
      <c r="C514" t="inlineStr">
        <is>
          <t>CA</t>
        </is>
      </c>
      <c r="D514" t="inlineStr">
        <is>
          <t>Metropolitan</t>
        </is>
      </c>
      <c r="E514" s="5" t="n">
        <v>373</v>
      </c>
      <c r="F514" s="4" t="n">
        <v>0.4959785522788204</v>
      </c>
      <c r="G514" s="4" t="n">
        <v>0.6459595518986707</v>
      </c>
      <c r="H514" s="3" t="n">
        <v>4803066.783784102</v>
      </c>
      <c r="I514" s="3" t="n">
        <v>389482.9818919655</v>
      </c>
      <c r="J514" s="4" t="n">
        <v>0.08109047811013589</v>
      </c>
      <c r="K514">
        <f>IF(AND(I514&gt;0,J514&gt;=Assumptions!$B$4),1,0)</f>
        <v/>
      </c>
      <c r="L514" s="3">
        <f>I514*K514</f>
        <v/>
      </c>
      <c r="M514">
        <f>SUM($K$2:K514)</f>
        <v/>
      </c>
    </row>
    <row r="515">
      <c r="A515" t="inlineStr">
        <is>
          <t>260001</t>
        </is>
      </c>
      <c r="B515" t="inlineStr">
        <is>
          <t>Mercy Hospital Joplin</t>
        </is>
      </c>
      <c r="C515" t="inlineStr">
        <is>
          <t>MO</t>
        </is>
      </c>
      <c r="D515" t="inlineStr">
        <is>
          <t>Metropolitan</t>
        </is>
      </c>
      <c r="E515" s="5" t="n">
        <v>1698</v>
      </c>
      <c r="F515" s="4" t="n">
        <v>0.5323910482921084</v>
      </c>
      <c r="G515" s="4" t="n">
        <v>0.5643939514337508</v>
      </c>
      <c r="H515" s="3" t="n">
        <v>26493902.22872789</v>
      </c>
      <c r="I515" s="3" t="n">
        <v>388416.7165532932</v>
      </c>
      <c r="J515" s="4" t="n">
        <v>0.0146606080599227</v>
      </c>
      <c r="K515">
        <f>IF(AND(I515&gt;0,J515&gt;=Assumptions!$B$4),1,0)</f>
        <v/>
      </c>
      <c r="L515" s="3">
        <f>I515*K515</f>
        <v/>
      </c>
      <c r="M515">
        <f>SUM($K$2:K515)</f>
        <v/>
      </c>
    </row>
    <row r="516">
      <c r="A516" t="inlineStr">
        <is>
          <t>500008</t>
        </is>
      </c>
      <c r="B516" t="inlineStr">
        <is>
          <t>University Of Washington Medical Ctr</t>
        </is>
      </c>
      <c r="C516" t="inlineStr">
        <is>
          <t>WA</t>
        </is>
      </c>
      <c r="D516" t="inlineStr">
        <is>
          <t>Metropolitan</t>
        </is>
      </c>
      <c r="E516" s="5" t="n">
        <v>5142</v>
      </c>
      <c r="F516" s="4" t="n">
        <v>0.4898872034227927</v>
      </c>
      <c r="G516" s="4" t="n">
        <v>0.5084647069270817</v>
      </c>
      <c r="H516" s="3" t="n">
        <v>108854266.2063088</v>
      </c>
      <c r="I516" s="3" t="n">
        <v>388369.0575350523</v>
      </c>
      <c r="J516" s="4" t="n">
        <v>0.0035677890363891</v>
      </c>
      <c r="K516">
        <f>IF(AND(I516&gt;0,J516&gt;=Assumptions!$B$4),1,0)</f>
        <v/>
      </c>
      <c r="L516" s="3">
        <f>I516*K516</f>
        <v/>
      </c>
      <c r="M516">
        <f>SUM($K$2:K516)</f>
        <v/>
      </c>
    </row>
    <row r="517">
      <c r="A517" t="inlineStr">
        <is>
          <t>390329</t>
        </is>
      </c>
      <c r="B517" t="inlineStr">
        <is>
          <t>Einstein Medical Center Montgomery</t>
        </is>
      </c>
      <c r="C517" t="inlineStr">
        <is>
          <t>PA</t>
        </is>
      </c>
      <c r="D517" t="inlineStr">
        <is>
          <t>Metropolitan</t>
        </is>
      </c>
      <c r="E517" s="5" t="n">
        <v>1820</v>
      </c>
      <c r="F517" s="4" t="n">
        <v>0.5587912087912088</v>
      </c>
      <c r="G517" s="4" t="n">
        <v>0.5963394246623691</v>
      </c>
      <c r="H517" s="3" t="n">
        <v>25668672.40647096</v>
      </c>
      <c r="I517" s="3" t="n">
        <v>387527.4131417722</v>
      </c>
      <c r="J517" s="4" t="n">
        <v>0.0150972908534248</v>
      </c>
      <c r="K517">
        <f>IF(AND(I517&gt;0,J517&gt;=Assumptions!$B$4),1,0)</f>
        <v/>
      </c>
      <c r="L517" s="3">
        <f>I517*K517</f>
        <v/>
      </c>
      <c r="M517">
        <f>SUM($K$2:K517)</f>
        <v/>
      </c>
    </row>
    <row r="518">
      <c r="A518" t="inlineStr">
        <is>
          <t>420106</t>
        </is>
      </c>
      <c r="B518" t="inlineStr">
        <is>
          <t>Prisma Health Baptist Parkridge</t>
        </is>
      </c>
      <c r="C518" t="inlineStr">
        <is>
          <t>SC</t>
        </is>
      </c>
      <c r="D518" t="inlineStr">
        <is>
          <t>Metropolitan</t>
        </is>
      </c>
      <c r="E518" s="5" t="n">
        <v>649</v>
      </c>
      <c r="F518" s="4" t="n">
        <v>0.4961479198767334</v>
      </c>
      <c r="G518" s="4" t="n">
        <v>0.5437435000789421</v>
      </c>
      <c r="H518" s="3" t="n">
        <v>11960738.06790053</v>
      </c>
      <c r="I518" s="3" t="n">
        <v>387200.3623401728</v>
      </c>
      <c r="J518" s="4" t="n">
        <v>0.0323726144776396</v>
      </c>
      <c r="K518">
        <f>IF(AND(I518&gt;0,J518&gt;=Assumptions!$B$4),1,0)</f>
        <v/>
      </c>
      <c r="L518" s="3">
        <f>I518*K518</f>
        <v/>
      </c>
      <c r="M518">
        <f>SUM($K$2:K518)</f>
        <v/>
      </c>
    </row>
    <row r="519">
      <c r="A519" t="inlineStr">
        <is>
          <t>050603</t>
        </is>
      </c>
      <c r="B519" t="inlineStr">
        <is>
          <t>Memorialcare Saddleback Medical Center</t>
        </is>
      </c>
      <c r="C519" t="inlineStr">
        <is>
          <t>CA</t>
        </is>
      </c>
      <c r="D519" t="inlineStr">
        <is>
          <t>Metropolitan</t>
        </is>
      </c>
      <c r="E519" s="5" t="n">
        <v>1462</v>
      </c>
      <c r="F519" s="4" t="n">
        <v>0.5567715458276333</v>
      </c>
      <c r="G519" s="4" t="n">
        <v>0.5984722661067484</v>
      </c>
      <c r="H519" s="3" t="n">
        <v>21897394.31871435</v>
      </c>
      <c r="I519" s="3" t="n">
        <v>386498.0701235496</v>
      </c>
      <c r="J519" s="4" t="n">
        <v>0.0176504137660449</v>
      </c>
      <c r="K519">
        <f>IF(AND(I519&gt;0,J519&gt;=Assumptions!$B$4),1,0)</f>
        <v/>
      </c>
      <c r="L519" s="3">
        <f>I519*K519</f>
        <v/>
      </c>
      <c r="M519">
        <f>SUM($K$2:K519)</f>
        <v/>
      </c>
    </row>
    <row r="520">
      <c r="A520" t="inlineStr">
        <is>
          <t>190008</t>
        </is>
      </c>
      <c r="B520" t="inlineStr">
        <is>
          <t>Terrebonne General Health System</t>
        </is>
      </c>
      <c r="C520" t="inlineStr">
        <is>
          <t>LA</t>
        </is>
      </c>
      <c r="D520" t="inlineStr">
        <is>
          <t>Metropolitan</t>
        </is>
      </c>
      <c r="E520" s="5" t="n">
        <v>981</v>
      </c>
      <c r="F520" s="4" t="n">
        <v>0.5494393476044852</v>
      </c>
      <c r="G520" s="4" t="n">
        <v>0.5765459579498179</v>
      </c>
      <c r="H520" s="3" t="n">
        <v>19428664.30044108</v>
      </c>
      <c r="I520" s="3" t="n">
        <v>386026.3879901171</v>
      </c>
      <c r="J520" s="4" t="n">
        <v>0.019868910287433</v>
      </c>
      <c r="K520">
        <f>IF(AND(I520&gt;0,J520&gt;=Assumptions!$B$4),1,0)</f>
        <v/>
      </c>
      <c r="L520" s="3">
        <f>I520*K520</f>
        <v/>
      </c>
      <c r="M520">
        <f>SUM($K$2:K520)</f>
        <v/>
      </c>
    </row>
    <row r="521">
      <c r="A521" t="inlineStr">
        <is>
          <t>220010</t>
        </is>
      </c>
      <c r="B521" t="inlineStr">
        <is>
          <t>Lawrence General Hospital</t>
        </is>
      </c>
      <c r="C521" t="inlineStr">
        <is>
          <t>MA</t>
        </is>
      </c>
      <c r="D521" t="inlineStr">
        <is>
          <t>Metropolitan</t>
        </is>
      </c>
      <c r="E521" s="5" t="n">
        <v>2056</v>
      </c>
      <c r="F521" s="4" t="n">
        <v>0.5899805447470817</v>
      </c>
      <c r="G521" s="4" t="n">
        <v>0.6145356797409426</v>
      </c>
      <c r="H521" s="3" t="n">
        <v>26159870.98547048</v>
      </c>
      <c r="I521" s="3" t="n">
        <v>383559.9826085493</v>
      </c>
      <c r="J521" s="4" t="n">
        <v>0.0146621511559282</v>
      </c>
      <c r="K521">
        <f>IF(AND(I521&gt;0,J521&gt;=Assumptions!$B$4),1,0)</f>
        <v/>
      </c>
      <c r="L521" s="3">
        <f>I521*K521</f>
        <v/>
      </c>
      <c r="M521">
        <f>SUM($K$2:K521)</f>
        <v/>
      </c>
    </row>
    <row r="522">
      <c r="A522" t="inlineStr">
        <is>
          <t>150012</t>
        </is>
      </c>
      <c r="B522" t="inlineStr">
        <is>
          <t>Saint Joseph Regional Medical Center</t>
        </is>
      </c>
      <c r="C522" t="inlineStr">
        <is>
          <t>IN</t>
        </is>
      </c>
      <c r="D522" t="inlineStr">
        <is>
          <t>Metropolitan</t>
        </is>
      </c>
      <c r="E522" s="5" t="n">
        <v>1747</v>
      </c>
      <c r="F522" s="4" t="n">
        <v>0.587864911276474</v>
      </c>
      <c r="G522" s="4" t="n">
        <v>0.5914793743378839</v>
      </c>
      <c r="H522" s="3" t="n">
        <v>26605971.12678233</v>
      </c>
      <c r="I522" s="3" t="n">
        <v>382576.942941796</v>
      </c>
      <c r="J522" s="4" t="n">
        <v>0.0143793639825716</v>
      </c>
      <c r="K522">
        <f>IF(AND(I522&gt;0,J522&gt;=Assumptions!$B$4),1,0)</f>
        <v/>
      </c>
      <c r="L522" s="3">
        <f>I522*K522</f>
        <v/>
      </c>
      <c r="M522">
        <f>SUM($K$2:K522)</f>
        <v/>
      </c>
    </row>
    <row r="523">
      <c r="A523" t="inlineStr">
        <is>
          <t>420103</t>
        </is>
      </c>
      <c r="B523" t="inlineStr">
        <is>
          <t>Pelham Medical Center</t>
        </is>
      </c>
      <c r="C523" t="inlineStr">
        <is>
          <t>SC</t>
        </is>
      </c>
      <c r="D523" t="inlineStr">
        <is>
          <t>Metropolitan</t>
        </is>
      </c>
      <c r="E523" s="5" t="n">
        <v>350</v>
      </c>
      <c r="F523" s="4" t="n">
        <v>0.4285714285714285</v>
      </c>
      <c r="G523" s="4" t="n">
        <v>0.5354591926219388</v>
      </c>
      <c r="H523" s="3" t="n">
        <v>5889416.765120653</v>
      </c>
      <c r="I523" s="3" t="n">
        <v>382274.9346421603</v>
      </c>
      <c r="J523" s="4" t="n">
        <v>0.0649087931603238</v>
      </c>
      <c r="K523">
        <f>IF(AND(I523&gt;0,J523&gt;=Assumptions!$B$4),1,0)</f>
        <v/>
      </c>
      <c r="L523" s="3">
        <f>I523*K523</f>
        <v/>
      </c>
      <c r="M523">
        <f>SUM($K$2:K523)</f>
        <v/>
      </c>
    </row>
    <row r="524">
      <c r="A524" t="inlineStr">
        <is>
          <t>010079</t>
        </is>
      </c>
      <c r="B524" t="inlineStr">
        <is>
          <t>Athens Limestone Hospital</t>
        </is>
      </c>
      <c r="C524" t="inlineStr">
        <is>
          <t>AL</t>
        </is>
      </c>
      <c r="D524" t="inlineStr">
        <is>
          <t>Micropolitan</t>
        </is>
      </c>
      <c r="E524" s="5" t="n">
        <v>487</v>
      </c>
      <c r="F524" s="4" t="n">
        <v>0.5092402464065708</v>
      </c>
      <c r="G524" s="4" t="n">
        <v>0.5663431215601777</v>
      </c>
      <c r="H524" s="3" t="n">
        <v>6596309.564435287</v>
      </c>
      <c r="I524" s="3" t="n">
        <v>378238.7020950904</v>
      </c>
      <c r="J524" s="4" t="n">
        <v>0.0573409568487211</v>
      </c>
      <c r="K524">
        <f>IF(AND(I524&gt;0,J524&gt;=Assumptions!$B$4),1,0)</f>
        <v/>
      </c>
      <c r="L524" s="3">
        <f>I524*K524</f>
        <v/>
      </c>
      <c r="M524">
        <f>SUM($K$2:K524)</f>
        <v/>
      </c>
    </row>
    <row r="525">
      <c r="A525" t="inlineStr">
        <is>
          <t>390012</t>
        </is>
      </c>
      <c r="B525" t="inlineStr">
        <is>
          <t>Lansdale Hospital</t>
        </is>
      </c>
      <c r="C525" t="inlineStr">
        <is>
          <t>PA</t>
        </is>
      </c>
      <c r="D525" t="inlineStr">
        <is>
          <t>Metropolitan</t>
        </is>
      </c>
      <c r="E525" s="5" t="n">
        <v>1467</v>
      </c>
      <c r="F525" s="4" t="n">
        <v>0.6059986366734833</v>
      </c>
      <c r="G525" s="4" t="n">
        <v>0.6410634106465629</v>
      </c>
      <c r="H525" s="3" t="n">
        <v>19346876.47525997</v>
      </c>
      <c r="I525" s="3" t="n">
        <v>377672.6719490253</v>
      </c>
      <c r="J525" s="4" t="n">
        <v>0.0195211186897263</v>
      </c>
      <c r="K525">
        <f>IF(AND(I525&gt;0,J525&gt;=Assumptions!$B$4),1,0)</f>
        <v/>
      </c>
      <c r="L525" s="3">
        <f>I525*K525</f>
        <v/>
      </c>
      <c r="M525">
        <f>SUM($K$2:K525)</f>
        <v/>
      </c>
    </row>
    <row r="526">
      <c r="A526" t="inlineStr">
        <is>
          <t>100230</t>
        </is>
      </c>
      <c r="B526" t="inlineStr">
        <is>
          <t>Memorial Hospital Pembroke</t>
        </is>
      </c>
      <c r="C526" t="inlineStr">
        <is>
          <t>FL</t>
        </is>
      </c>
      <c r="D526" t="inlineStr">
        <is>
          <t>Metropolitan</t>
        </is>
      </c>
      <c r="E526" s="5" t="n">
        <v>502</v>
      </c>
      <c r="F526" s="4" t="n">
        <v>0.4621513944223107</v>
      </c>
      <c r="G526" s="4" t="n">
        <v>0.6274860688001225</v>
      </c>
      <c r="H526" s="3" t="n">
        <v>5728418.632625952</v>
      </c>
      <c r="I526" s="3" t="n">
        <v>376732.9677481921</v>
      </c>
      <c r="J526" s="4" t="n">
        <v>0.0657656138471665</v>
      </c>
      <c r="K526">
        <f>IF(AND(I526&gt;0,J526&gt;=Assumptions!$B$4),1,0)</f>
        <v/>
      </c>
      <c r="L526" s="3">
        <f>I526*K526</f>
        <v/>
      </c>
      <c r="M526">
        <f>SUM($K$2:K526)</f>
        <v/>
      </c>
    </row>
    <row r="527">
      <c r="A527" t="inlineStr">
        <is>
          <t>210065</t>
        </is>
      </c>
      <c r="B527" t="inlineStr">
        <is>
          <t>Holy Cross Germantown Hospital</t>
        </is>
      </c>
      <c r="C527" t="inlineStr">
        <is>
          <t>MD</t>
        </is>
      </c>
      <c r="D527" t="inlineStr">
        <is>
          <t>Metropolitan</t>
        </is>
      </c>
      <c r="E527" s="5" t="n">
        <v>965</v>
      </c>
      <c r="F527" s="4" t="n">
        <v>0.5647668393782384</v>
      </c>
      <c r="G527" s="4" t="n">
        <v>0.6234441975502191</v>
      </c>
      <c r="H527" s="3" t="n">
        <v>13691891.58454497</v>
      </c>
      <c r="I527" s="3" t="n">
        <v>373087.0958994124</v>
      </c>
      <c r="J527" s="4" t="n">
        <v>0.0272487620571391</v>
      </c>
      <c r="K527">
        <f>IF(AND(I527&gt;0,J527&gt;=Assumptions!$B$4),1,0)</f>
        <v/>
      </c>
      <c r="L527" s="3">
        <f>I527*K527</f>
        <v/>
      </c>
      <c r="M527">
        <f>SUM($K$2:K527)</f>
        <v/>
      </c>
    </row>
    <row r="528">
      <c r="A528" t="inlineStr">
        <is>
          <t>230077</t>
        </is>
      </c>
      <c r="B528" t="inlineStr">
        <is>
          <t>Ascension St Mary's Hospital</t>
        </is>
      </c>
      <c r="C528" t="inlineStr">
        <is>
          <t>MI</t>
        </is>
      </c>
      <c r="D528" t="inlineStr">
        <is>
          <t>Metropolitan</t>
        </is>
      </c>
      <c r="E528" s="5" t="n">
        <v>820</v>
      </c>
      <c r="F528" s="4" t="n">
        <v>0.5451219512195122</v>
      </c>
      <c r="G528" s="4" t="n">
        <v>0.5783338552408932</v>
      </c>
      <c r="H528" s="3" t="n">
        <v>14096219.23779649</v>
      </c>
      <c r="I528" s="3" t="n">
        <v>365916.4553419724</v>
      </c>
      <c r="J528" s="4" t="n">
        <v>0.0259584821411427</v>
      </c>
      <c r="K528">
        <f>IF(AND(I528&gt;0,J528&gt;=Assumptions!$B$4),1,0)</f>
        <v/>
      </c>
      <c r="L528" s="3">
        <f>I528*K528</f>
        <v/>
      </c>
      <c r="M528">
        <f>SUM($K$2:K528)</f>
        <v/>
      </c>
    </row>
    <row r="529">
      <c r="A529" t="inlineStr">
        <is>
          <t>050159</t>
        </is>
      </c>
      <c r="B529" t="inlineStr">
        <is>
          <t>Ventura County Medical Center</t>
        </is>
      </c>
      <c r="C529" t="inlineStr">
        <is>
          <t>CA</t>
        </is>
      </c>
      <c r="D529" t="inlineStr">
        <is>
          <t>Metropolitan</t>
        </is>
      </c>
      <c r="E529" s="5" t="n">
        <v>712</v>
      </c>
      <c r="F529" s="4" t="n">
        <v>0.5294943820224719</v>
      </c>
      <c r="G529" s="4" t="n">
        <v>0.6044417687343894</v>
      </c>
      <c r="H529" s="3" t="n">
        <v>10252027.77877735</v>
      </c>
      <c r="I529" s="3" t="n">
        <v>365333.3672651313</v>
      </c>
      <c r="J529" s="4" t="n">
        <v>0.0356352299416711</v>
      </c>
      <c r="K529">
        <f>IF(AND(I529&gt;0,J529&gt;=Assumptions!$B$4),1,0)</f>
        <v/>
      </c>
      <c r="L529" s="3">
        <f>I529*K529</f>
        <v/>
      </c>
      <c r="M529">
        <f>SUM($K$2:K529)</f>
        <v/>
      </c>
    </row>
    <row r="530">
      <c r="A530" t="inlineStr">
        <is>
          <t>310111</t>
        </is>
      </c>
      <c r="B530" t="inlineStr">
        <is>
          <t>Centrastate Medical Center</t>
        </is>
      </c>
      <c r="C530" t="inlineStr">
        <is>
          <t>NJ</t>
        </is>
      </c>
      <c r="D530" t="inlineStr">
        <is>
          <t>Metropolitan</t>
        </is>
      </c>
      <c r="E530" s="5" t="n">
        <v>3246</v>
      </c>
      <c r="F530" s="4" t="n">
        <v>0.5871842267406038</v>
      </c>
      <c r="G530" s="4" t="n">
        <v>0.6151976790421861</v>
      </c>
      <c r="H530" s="3" t="n">
        <v>44378846.91612088</v>
      </c>
      <c r="I530" s="3" t="n">
        <v>365037.3446743861</v>
      </c>
      <c r="J530" s="4" t="n">
        <v>0.0082254806071084</v>
      </c>
      <c r="K530">
        <f>IF(AND(I530&gt;0,J530&gt;=Assumptions!$B$4),1,0)</f>
        <v/>
      </c>
      <c r="L530" s="3">
        <f>I530*K530</f>
        <v/>
      </c>
      <c r="M530">
        <f>SUM($K$2:K530)</f>
        <v/>
      </c>
    </row>
    <row r="531">
      <c r="A531" t="inlineStr">
        <is>
          <t>390101</t>
        </is>
      </c>
      <c r="B531" t="inlineStr">
        <is>
          <t>Upmc Memorial</t>
        </is>
      </c>
      <c r="C531" t="inlineStr">
        <is>
          <t>PA</t>
        </is>
      </c>
      <c r="D531" t="inlineStr">
        <is>
          <t>Metropolitan</t>
        </is>
      </c>
      <c r="E531" s="5" t="n">
        <v>708</v>
      </c>
      <c r="F531" s="4" t="n">
        <v>0.5268361581920904</v>
      </c>
      <c r="G531" s="4" t="n">
        <v>0.6089958543980984</v>
      </c>
      <c r="H531" s="3" t="n">
        <v>9633167.081403973</v>
      </c>
      <c r="I531" s="3" t="n">
        <v>363155.6350468844</v>
      </c>
      <c r="J531" s="4" t="n">
        <v>0.0376984673864866</v>
      </c>
      <c r="K531">
        <f>IF(AND(I531&gt;0,J531&gt;=Assumptions!$B$4),1,0)</f>
        <v/>
      </c>
      <c r="L531" s="3">
        <f>I531*K531</f>
        <v/>
      </c>
      <c r="M531">
        <f>SUM($K$2:K531)</f>
        <v/>
      </c>
    </row>
    <row r="532">
      <c r="A532" t="inlineStr">
        <is>
          <t>360089</t>
        </is>
      </c>
      <c r="B532" t="inlineStr">
        <is>
          <t>Mercy Health - Tiffin Hospital</t>
        </is>
      </c>
      <c r="C532" t="inlineStr">
        <is>
          <t>OH</t>
        </is>
      </c>
      <c r="D532" t="inlineStr">
        <is>
          <t>Micropolitan</t>
        </is>
      </c>
      <c r="E532" s="5" t="n">
        <v>462</v>
      </c>
      <c r="F532" s="4" t="n">
        <v>0.5021645021645021</v>
      </c>
      <c r="G532" s="4" t="n">
        <v>0.6543327653334736</v>
      </c>
      <c r="H532" s="3" t="n">
        <v>5444901.544141844</v>
      </c>
      <c r="I532" s="3" t="n">
        <v>362655.0278715137</v>
      </c>
      <c r="J532" s="4" t="n">
        <v>0.0666045152389749</v>
      </c>
      <c r="K532">
        <f>IF(AND(I532&gt;0,J532&gt;=Assumptions!$B$4),1,0)</f>
        <v/>
      </c>
      <c r="L532" s="3">
        <f>I532*K532</f>
        <v/>
      </c>
      <c r="M532">
        <f>SUM($K$2:K532)</f>
        <v/>
      </c>
    </row>
    <row r="533">
      <c r="A533" t="inlineStr">
        <is>
          <t>100071</t>
        </is>
      </c>
      <c r="B533" t="inlineStr">
        <is>
          <t>Tampa General Hospital Brooksville</t>
        </is>
      </c>
      <c r="C533" t="inlineStr">
        <is>
          <t>FL</t>
        </is>
      </c>
      <c r="D533" t="inlineStr">
        <is>
          <t>Metropolitan</t>
        </is>
      </c>
      <c r="E533" s="5" t="n">
        <v>1032</v>
      </c>
      <c r="F533" s="4" t="n">
        <v>0.5397286821705426</v>
      </c>
      <c r="G533" s="4" t="n">
        <v>0.6097055535874173</v>
      </c>
      <c r="H533" s="3" t="n">
        <v>12997138.02303815</v>
      </c>
      <c r="I533" s="3" t="n">
        <v>360118.5978058018</v>
      </c>
      <c r="J533" s="4" t="n">
        <v>0.0277075304707445</v>
      </c>
      <c r="K533">
        <f>IF(AND(I533&gt;0,J533&gt;=Assumptions!$B$4),1,0)</f>
        <v/>
      </c>
      <c r="L533" s="3">
        <f>I533*K533</f>
        <v/>
      </c>
      <c r="M533">
        <f>SUM($K$2:K533)</f>
        <v/>
      </c>
    </row>
    <row r="534">
      <c r="A534" t="inlineStr">
        <is>
          <t>390091</t>
        </is>
      </c>
      <c r="B534" t="inlineStr">
        <is>
          <t>Upmc Northwest</t>
        </is>
      </c>
      <c r="C534" t="inlineStr">
        <is>
          <t>PA</t>
        </is>
      </c>
      <c r="D534" t="inlineStr">
        <is>
          <t>Micropolitan</t>
        </is>
      </c>
      <c r="E534" s="5" t="n">
        <v>555</v>
      </c>
      <c r="F534" s="4" t="n">
        <v>0.4792792792792792</v>
      </c>
      <c r="G534" s="4" t="n">
        <v>0.6049962147036825</v>
      </c>
      <c r="H534" s="3" t="n">
        <v>6245229.339292536</v>
      </c>
      <c r="I534" s="3" t="n">
        <v>359561.3999760598</v>
      </c>
      <c r="J534" s="4" t="n">
        <v>0.0575737703840338</v>
      </c>
      <c r="K534">
        <f>IF(AND(I534&gt;0,J534&gt;=Assumptions!$B$4),1,0)</f>
        <v/>
      </c>
      <c r="L534" s="3">
        <f>I534*K534</f>
        <v/>
      </c>
      <c r="M534">
        <f>SUM($K$2:K534)</f>
        <v/>
      </c>
    </row>
    <row r="535">
      <c r="A535" t="inlineStr">
        <is>
          <t>020012</t>
        </is>
      </c>
      <c r="B535" t="inlineStr">
        <is>
          <t>Fairbanks Memorial Hospital</t>
        </is>
      </c>
      <c r="C535" t="inlineStr">
        <is>
          <t>AK</t>
        </is>
      </c>
      <c r="D535" t="inlineStr">
        <is>
          <t>Metropolitan</t>
        </is>
      </c>
      <c r="E535" s="5" t="n">
        <v>478</v>
      </c>
      <c r="F535" s="4" t="n">
        <v>0.6234309623430963</v>
      </c>
      <c r="G535" s="4" t="n">
        <v>0.7037473563832927</v>
      </c>
      <c r="H535" s="3" t="n">
        <v>6703008.768278156</v>
      </c>
      <c r="I535" s="3" t="n">
        <v>357581.6718056388</v>
      </c>
      <c r="J535" s="4" t="n">
        <v>0.0533464424957768</v>
      </c>
      <c r="K535">
        <f>IF(AND(I535&gt;0,J535&gt;=Assumptions!$B$4),1,0)</f>
        <v/>
      </c>
      <c r="L535" s="3">
        <f>I535*K535</f>
        <v/>
      </c>
      <c r="M535">
        <f>SUM($K$2:K535)</f>
        <v/>
      </c>
    </row>
    <row r="536">
      <c r="A536" t="inlineStr">
        <is>
          <t>450034</t>
        </is>
      </c>
      <c r="B536" t="inlineStr">
        <is>
          <t>Christus Southeast Texas- St Elizabeth</t>
        </is>
      </c>
      <c r="C536" t="inlineStr">
        <is>
          <t>TX</t>
        </is>
      </c>
      <c r="D536" t="inlineStr">
        <is>
          <t>Metropolitan</t>
        </is>
      </c>
      <c r="E536" s="5" t="n">
        <v>2029</v>
      </c>
      <c r="F536" s="4" t="n">
        <v>0.5544603252833908</v>
      </c>
      <c r="G536" s="4" t="n">
        <v>0.5846665529617375</v>
      </c>
      <c r="H536" s="3" t="n">
        <v>29626115.65908321</v>
      </c>
      <c r="I536" s="3" t="n">
        <v>355567.7174017616</v>
      </c>
      <c r="J536" s="4" t="n">
        <v>0.0120018338378675</v>
      </c>
      <c r="K536">
        <f>IF(AND(I536&gt;0,J536&gt;=Assumptions!$B$4),1,0)</f>
        <v/>
      </c>
      <c r="L536" s="3">
        <f>I536*K536</f>
        <v/>
      </c>
      <c r="M536">
        <f>SUM($K$2:K536)</f>
        <v/>
      </c>
    </row>
    <row r="537">
      <c r="A537" t="inlineStr">
        <is>
          <t>110029</t>
        </is>
      </c>
      <c r="B537" t="inlineStr">
        <is>
          <t>Northeast Georgia Medical Center, Inc</t>
        </is>
      </c>
      <c r="C537" t="inlineStr">
        <is>
          <t>GA</t>
        </is>
      </c>
      <c r="D537" t="inlineStr">
        <is>
          <t>Metropolitan</t>
        </is>
      </c>
      <c r="E537" s="5" t="n">
        <v>7149</v>
      </c>
      <c r="F537" s="4" t="n">
        <v>0.5348999860120297</v>
      </c>
      <c r="G537" s="4" t="n">
        <v>0.5367406655992202</v>
      </c>
      <c r="H537" s="3" t="n">
        <v>122928494.4033328</v>
      </c>
      <c r="I537" s="3" t="n">
        <v>355504.0428413451</v>
      </c>
      <c r="J537" s="4" t="n">
        <v>0.0028919580001925</v>
      </c>
      <c r="K537">
        <f>IF(AND(I537&gt;0,J537&gt;=Assumptions!$B$4),1,0)</f>
        <v/>
      </c>
      <c r="L537" s="3">
        <f>I537*K537</f>
        <v/>
      </c>
      <c r="M537">
        <f>SUM($K$2:K537)</f>
        <v/>
      </c>
    </row>
    <row r="538">
      <c r="A538" t="inlineStr">
        <is>
          <t>160029</t>
        </is>
      </c>
      <c r="B538" t="inlineStr">
        <is>
          <t>University Of Iowa Health Care Medical Center Down</t>
        </is>
      </c>
      <c r="C538" t="inlineStr">
        <is>
          <t>IA</t>
        </is>
      </c>
      <c r="D538" t="inlineStr">
        <is>
          <t>Metropolitan</t>
        </is>
      </c>
      <c r="E538" s="5" t="n">
        <v>831</v>
      </c>
      <c r="F538" s="4" t="n">
        <v>0.6125150421179302</v>
      </c>
      <c r="G538" s="4" t="n">
        <v>0.651924862966473</v>
      </c>
      <c r="H538" s="3" t="n">
        <v>12418065.25433777</v>
      </c>
      <c r="I538" s="3" t="n">
        <v>354912.2339390013</v>
      </c>
      <c r="J538" s="4" t="n">
        <v>0.0285803163914786</v>
      </c>
      <c r="K538">
        <f>IF(AND(I538&gt;0,J538&gt;=Assumptions!$B$4),1,0)</f>
        <v/>
      </c>
      <c r="L538" s="3">
        <f>I538*K538</f>
        <v/>
      </c>
      <c r="M538">
        <f>SUM($K$2:K538)</f>
        <v/>
      </c>
    </row>
    <row r="539">
      <c r="A539" t="inlineStr">
        <is>
          <t>250094</t>
        </is>
      </c>
      <c r="B539" t="inlineStr">
        <is>
          <t>Merit Health Wesley</t>
        </is>
      </c>
      <c r="C539" t="inlineStr">
        <is>
          <t>MS</t>
        </is>
      </c>
      <c r="D539" t="inlineStr">
        <is>
          <t>Metropolitan</t>
        </is>
      </c>
      <c r="E539" s="5" t="n">
        <v>858</v>
      </c>
      <c r="F539" s="4" t="n">
        <v>0.5198135198135199</v>
      </c>
      <c r="G539" s="4" t="n">
        <v>0.5983193309237121</v>
      </c>
      <c r="H539" s="3" t="n">
        <v>12639124.43153356</v>
      </c>
      <c r="I539" s="3" t="n">
        <v>354173.4282450024</v>
      </c>
      <c r="J539" s="4" t="n">
        <v>0.0280219907766212</v>
      </c>
      <c r="K539">
        <f>IF(AND(I539&gt;0,J539&gt;=Assumptions!$B$4),1,0)</f>
        <v/>
      </c>
      <c r="L539" s="3">
        <f>I539*K539</f>
        <v/>
      </c>
      <c r="M539">
        <f>SUM($K$2:K539)</f>
        <v/>
      </c>
    </row>
    <row r="540">
      <c r="A540" t="inlineStr">
        <is>
          <t>490044</t>
        </is>
      </c>
      <c r="B540" t="inlineStr">
        <is>
          <t>Sentara Obici Hospital</t>
        </is>
      </c>
      <c r="C540" t="inlineStr">
        <is>
          <t>VA</t>
        </is>
      </c>
      <c r="D540" t="inlineStr">
        <is>
          <t>Metropolitan</t>
        </is>
      </c>
      <c r="E540" s="5" t="n">
        <v>2385</v>
      </c>
      <c r="F540" s="4" t="n">
        <v>0.6444444444444445</v>
      </c>
      <c r="G540" s="4" t="n">
        <v>0.6546788960399298</v>
      </c>
      <c r="H540" s="3" t="n">
        <v>34462402.0137516</v>
      </c>
      <c r="I540" s="3" t="n">
        <v>352999.9039536789</v>
      </c>
      <c r="J540" s="4" t="n">
        <v>0.0102430441097176</v>
      </c>
      <c r="K540">
        <f>IF(AND(I540&gt;0,J540&gt;=Assumptions!$B$4),1,0)</f>
        <v/>
      </c>
      <c r="L540" s="3">
        <f>I540*K540</f>
        <v/>
      </c>
      <c r="M540">
        <f>SUM($K$2:K540)</f>
        <v/>
      </c>
    </row>
    <row r="541">
      <c r="A541" t="inlineStr">
        <is>
          <t>390151</t>
        </is>
      </c>
      <c r="B541" t="inlineStr">
        <is>
          <t>Wellspan Chambersburg Hospital</t>
        </is>
      </c>
      <c r="C541" t="inlineStr">
        <is>
          <t>PA</t>
        </is>
      </c>
      <c r="D541" t="inlineStr">
        <is>
          <t>Metropolitan</t>
        </is>
      </c>
      <c r="E541" s="5" t="n">
        <v>2675</v>
      </c>
      <c r="F541" s="4" t="n">
        <v>0.6198130841121495</v>
      </c>
      <c r="G541" s="4" t="n">
        <v>0.6323062342622308</v>
      </c>
      <c r="H541" s="3" t="n">
        <v>39309059.23073075</v>
      </c>
      <c r="I541" s="3" t="n">
        <v>352644.3564357832</v>
      </c>
      <c r="J541" s="4" t="n">
        <v>0.0089710708762039</v>
      </c>
      <c r="K541">
        <f>IF(AND(I541&gt;0,J541&gt;=Assumptions!$B$4),1,0)</f>
        <v/>
      </c>
      <c r="L541" s="3">
        <f>I541*K541</f>
        <v/>
      </c>
      <c r="M541">
        <f>SUM($K$2:K541)</f>
        <v/>
      </c>
    </row>
    <row r="542">
      <c r="A542" t="inlineStr">
        <is>
          <t>440017</t>
        </is>
      </c>
      <c r="B542" t="inlineStr">
        <is>
          <t>Holston Valley Medical Center</t>
        </is>
      </c>
      <c r="C542" t="inlineStr">
        <is>
          <t>TN</t>
        </is>
      </c>
      <c r="D542" t="inlineStr">
        <is>
          <t>Metropolitan</t>
        </is>
      </c>
      <c r="E542" s="5" t="n">
        <v>2056</v>
      </c>
      <c r="F542" s="4" t="n">
        <v>0.5593385214007782</v>
      </c>
      <c r="G542" s="4" t="n">
        <v>0.5723725606500237</v>
      </c>
      <c r="H542" s="3" t="n">
        <v>34881475.62932346</v>
      </c>
      <c r="I542" s="3" t="n">
        <v>351707.1668936834</v>
      </c>
      <c r="J542" s="4" t="n">
        <v>0.0100829211077875</v>
      </c>
      <c r="K542">
        <f>IF(AND(I542&gt;0,J542&gt;=Assumptions!$B$4),1,0)</f>
        <v/>
      </c>
      <c r="L542" s="3">
        <f>I542*K542</f>
        <v/>
      </c>
      <c r="M542">
        <f>SUM($K$2:K542)</f>
        <v/>
      </c>
    </row>
    <row r="543">
      <c r="A543" t="inlineStr">
        <is>
          <t>390339</t>
        </is>
      </c>
      <c r="B543" t="inlineStr">
        <is>
          <t>Penn State Health Lancaster Medical Center</t>
        </is>
      </c>
      <c r="C543" t="inlineStr">
        <is>
          <t>PA</t>
        </is>
      </c>
      <c r="D543" t="inlineStr">
        <is>
          <t>Metropolitan</t>
        </is>
      </c>
      <c r="E543" s="5" t="n">
        <v>556</v>
      </c>
      <c r="F543" s="4" t="n">
        <v>0.420863309352518</v>
      </c>
      <c r="G543" s="4" t="n">
        <v>0.5577178593288661</v>
      </c>
      <c r="H543" s="3" t="n">
        <v>7746457.575152043</v>
      </c>
      <c r="I543" s="3" t="n">
        <v>351110.9652077463</v>
      </c>
      <c r="J543" s="4" t="n">
        <v>0.045325358307517</v>
      </c>
      <c r="K543">
        <f>IF(AND(I543&gt;0,J543&gt;=Assumptions!$B$4),1,0)</f>
        <v/>
      </c>
      <c r="L543" s="3">
        <f>I543*K543</f>
        <v/>
      </c>
      <c r="M543">
        <f>SUM($K$2:K543)</f>
        <v/>
      </c>
    </row>
    <row r="544">
      <c r="A544" t="inlineStr">
        <is>
          <t>330285</t>
        </is>
      </c>
      <c r="B544" t="inlineStr">
        <is>
          <t>Strong Memorial Hospital</t>
        </is>
      </c>
      <c r="C544" t="inlineStr">
        <is>
          <t>NY</t>
        </is>
      </c>
      <c r="D544" t="inlineStr">
        <is>
          <t>Metropolitan</t>
        </is>
      </c>
      <c r="E544" s="5" t="n">
        <v>3234</v>
      </c>
      <c r="F544" s="4" t="n">
        <v>0.5454545454545454</v>
      </c>
      <c r="G544" s="4" t="n">
        <v>0.5756242727547211</v>
      </c>
      <c r="H544" s="3" t="n">
        <v>60448529.24559003</v>
      </c>
      <c r="I544" s="3" t="n">
        <v>350991.5705662742</v>
      </c>
      <c r="J544" s="4" t="n">
        <v>0.0058064534397564</v>
      </c>
      <c r="K544">
        <f>IF(AND(I544&gt;0,J544&gt;=Assumptions!$B$4),1,0)</f>
        <v/>
      </c>
      <c r="L544" s="3">
        <f>I544*K544</f>
        <v/>
      </c>
      <c r="M544">
        <f>SUM($K$2:K544)</f>
        <v/>
      </c>
    </row>
    <row r="545">
      <c r="A545" t="inlineStr">
        <is>
          <t>050009</t>
        </is>
      </c>
      <c r="B545" t="inlineStr">
        <is>
          <t>Providence Queen Of The Valley Medical Center</t>
        </is>
      </c>
      <c r="C545" t="inlineStr">
        <is>
          <t>CA</t>
        </is>
      </c>
      <c r="D545" t="inlineStr">
        <is>
          <t>Metropolitan</t>
        </is>
      </c>
      <c r="E545" s="5" t="n">
        <v>1282</v>
      </c>
      <c r="F545" s="4" t="n">
        <v>0.6692667706708268</v>
      </c>
      <c r="G545" s="4" t="n">
        <v>0.6559111318378753</v>
      </c>
      <c r="H545" s="3" t="n">
        <v>19722634.60573726</v>
      </c>
      <c r="I545" s="3" t="n">
        <v>349156.5757472478</v>
      </c>
      <c r="J545" s="4" t="n">
        <v>0.0177033435302644</v>
      </c>
      <c r="K545">
        <f>IF(AND(I545&gt;0,J545&gt;=Assumptions!$B$4),1,0)</f>
        <v/>
      </c>
      <c r="L545" s="3">
        <f>I545*K545</f>
        <v/>
      </c>
      <c r="M545">
        <f>SUM($K$2:K545)</f>
        <v/>
      </c>
    </row>
    <row r="546">
      <c r="A546" t="inlineStr">
        <is>
          <t>260186</t>
        </is>
      </c>
      <c r="B546" t="inlineStr">
        <is>
          <t>Lake Regional Health System</t>
        </is>
      </c>
      <c r="C546" t="inlineStr">
        <is>
          <t>MO</t>
        </is>
      </c>
      <c r="D546" t="inlineStr">
        <is>
          <t>Small town</t>
        </is>
      </c>
      <c r="E546" s="5" t="n">
        <v>752</v>
      </c>
      <c r="F546" s="4" t="n">
        <v>0.589095744680851</v>
      </c>
      <c r="G546" s="4" t="n">
        <v>0.640918619793607</v>
      </c>
      <c r="H546" s="3" t="n">
        <v>9970518.820167866</v>
      </c>
      <c r="I546" s="3" t="n">
        <v>344786.8732680473</v>
      </c>
      <c r="J546" s="4" t="n">
        <v>0.0345806351190702</v>
      </c>
      <c r="K546">
        <f>IF(AND(I546&gt;0,J546&gt;=Assumptions!$B$4),1,0)</f>
        <v/>
      </c>
      <c r="L546" s="3">
        <f>I546*K546</f>
        <v/>
      </c>
      <c r="M546">
        <f>SUM($K$2:K546)</f>
        <v/>
      </c>
    </row>
    <row r="547">
      <c r="A547" t="inlineStr">
        <is>
          <t>100181</t>
        </is>
      </c>
      <c r="B547" t="inlineStr">
        <is>
          <t>Larkin Community Hospital</t>
        </is>
      </c>
      <c r="C547" t="inlineStr">
        <is>
          <t>FL</t>
        </is>
      </c>
      <c r="D547" t="inlineStr">
        <is>
          <t>Metropolitan</t>
        </is>
      </c>
      <c r="E547" s="5" t="n">
        <v>328</v>
      </c>
      <c r="F547" s="4" t="n">
        <v>0.3689024390243902</v>
      </c>
      <c r="G547" s="4" t="n">
        <v>0.5797064324607329</v>
      </c>
      <c r="H547" s="3" t="n">
        <v>3715730.126600469</v>
      </c>
      <c r="I547" s="3" t="n">
        <v>344302.6392302215</v>
      </c>
      <c r="J547" s="4" t="n">
        <v>0.0926608304422864</v>
      </c>
      <c r="K547">
        <f>IF(AND(I547&gt;0,J547&gt;=Assumptions!$B$4),1,0)</f>
        <v/>
      </c>
      <c r="L547" s="3">
        <f>I547*K547</f>
        <v/>
      </c>
      <c r="M547">
        <f>SUM($K$2:K547)</f>
        <v/>
      </c>
    </row>
    <row r="548">
      <c r="A548" t="inlineStr">
        <is>
          <t>100316</t>
        </is>
      </c>
      <c r="B548" t="inlineStr">
        <is>
          <t>Palm Bay Hospital</t>
        </is>
      </c>
      <c r="C548" t="inlineStr">
        <is>
          <t>FL</t>
        </is>
      </c>
      <c r="D548" t="inlineStr">
        <is>
          <t>Metropolitan</t>
        </is>
      </c>
      <c r="E548" s="5" t="n">
        <v>1351</v>
      </c>
      <c r="F548" s="4" t="n">
        <v>0.5662472242783123</v>
      </c>
      <c r="G548" s="4" t="n">
        <v>0.589180600778861</v>
      </c>
      <c r="H548" s="3" t="n">
        <v>16793841.23558324</v>
      </c>
      <c r="I548" s="3" t="n">
        <v>342421.2612081505</v>
      </c>
      <c r="J548" s="4" t="n">
        <v>0.0203896926501019</v>
      </c>
      <c r="K548">
        <f>IF(AND(I548&gt;0,J548&gt;=Assumptions!$B$4),1,0)</f>
        <v/>
      </c>
      <c r="L548" s="3">
        <f>I548*K548</f>
        <v/>
      </c>
      <c r="M548">
        <f>SUM($K$2:K548)</f>
        <v/>
      </c>
    </row>
    <row r="549">
      <c r="A549" t="inlineStr">
        <is>
          <t>460009</t>
        </is>
      </c>
      <c r="B549" t="inlineStr">
        <is>
          <t>University Of Utah Hospitals And Clinics</t>
        </is>
      </c>
      <c r="C549" t="inlineStr">
        <is>
          <t>UT</t>
        </is>
      </c>
      <c r="D549" t="inlineStr">
        <is>
          <t>Metropolitan</t>
        </is>
      </c>
      <c r="E549" s="5" t="n">
        <v>4116</v>
      </c>
      <c r="F549" s="4" t="n">
        <v>0.5131195335276968</v>
      </c>
      <c r="G549" s="4" t="n">
        <v>0.5124967536313958</v>
      </c>
      <c r="H549" s="3" t="n">
        <v>85203858.33747986</v>
      </c>
      <c r="I549" s="3" t="n">
        <v>341323.7694969624</v>
      </c>
      <c r="J549" s="4" t="n">
        <v>0.0040059661165229</v>
      </c>
      <c r="K549">
        <f>IF(AND(I549&gt;0,J549&gt;=Assumptions!$B$4),1,0)</f>
        <v/>
      </c>
      <c r="L549" s="3">
        <f>I549*K549</f>
        <v/>
      </c>
      <c r="M549">
        <f>SUM($K$2:K549)</f>
        <v/>
      </c>
    </row>
    <row r="550">
      <c r="A550" t="inlineStr">
        <is>
          <t>140043</t>
        </is>
      </c>
      <c r="B550" t="inlineStr">
        <is>
          <t>Cgh Medical Center</t>
        </is>
      </c>
      <c r="C550" t="inlineStr">
        <is>
          <t>IL</t>
        </is>
      </c>
      <c r="D550" t="inlineStr">
        <is>
          <t>Micropolitan</t>
        </is>
      </c>
      <c r="E550" s="5" t="n">
        <v>732</v>
      </c>
      <c r="F550" s="4" t="n">
        <v>0.5122950819672131</v>
      </c>
      <c r="G550" s="4" t="n">
        <v>0.6118542276756034</v>
      </c>
      <c r="H550" s="3" t="n">
        <v>9579640.873071874</v>
      </c>
      <c r="I550" s="3" t="n">
        <v>339404.4232540056</v>
      </c>
      <c r="J550" s="4" t="n">
        <v>0.0354297648263686</v>
      </c>
      <c r="K550">
        <f>IF(AND(I550&gt;0,J550&gt;=Assumptions!$B$4),1,0)</f>
        <v/>
      </c>
      <c r="L550" s="3">
        <f>I550*K550</f>
        <v/>
      </c>
      <c r="M550">
        <f>SUM($K$2:K550)</f>
        <v/>
      </c>
    </row>
    <row r="551">
      <c r="A551" t="inlineStr">
        <is>
          <t>180027</t>
        </is>
      </c>
      <c r="B551" t="inlineStr">
        <is>
          <t>Murray-Calloway County Hospital</t>
        </is>
      </c>
      <c r="C551" t="inlineStr">
        <is>
          <t>KY</t>
        </is>
      </c>
      <c r="D551" t="inlineStr">
        <is>
          <t>Micropolitan</t>
        </is>
      </c>
      <c r="E551" s="5" t="n">
        <v>540</v>
      </c>
      <c r="F551" s="4" t="n">
        <v>0.4925925925925926</v>
      </c>
      <c r="G551" s="4" t="n">
        <v>0.6076737417252756</v>
      </c>
      <c r="H551" s="3" t="n">
        <v>6880891.277364692</v>
      </c>
      <c r="I551" s="3" t="n">
        <v>337108.8305405285</v>
      </c>
      <c r="J551" s="4" t="n">
        <v>0.0489920298042607</v>
      </c>
      <c r="K551">
        <f>IF(AND(I551&gt;0,J551&gt;=Assumptions!$B$4),1,0)</f>
        <v/>
      </c>
      <c r="L551" s="3">
        <f>I551*K551</f>
        <v/>
      </c>
      <c r="M551">
        <f>SUM($K$2:K551)</f>
        <v/>
      </c>
    </row>
    <row r="552">
      <c r="A552" t="inlineStr">
        <is>
          <t>140032</t>
        </is>
      </c>
      <c r="B552" t="inlineStr">
        <is>
          <t>St Anthonys Memorial Hospital</t>
        </is>
      </c>
      <c r="C552" t="inlineStr">
        <is>
          <t>IL</t>
        </is>
      </c>
      <c r="D552" t="inlineStr">
        <is>
          <t>Micropolitan</t>
        </is>
      </c>
      <c r="E552" s="5" t="n">
        <v>887</v>
      </c>
      <c r="F552" s="4" t="n">
        <v>0.6200676437429538</v>
      </c>
      <c r="G552" s="4" t="n">
        <v>0.6803654276341996</v>
      </c>
      <c r="H552" s="3" t="n">
        <v>11716625.72072803</v>
      </c>
      <c r="I552" s="3" t="n">
        <v>334646.8973333463</v>
      </c>
      <c r="J552" s="4" t="n">
        <v>0.0285617126730709</v>
      </c>
      <c r="K552">
        <f>IF(AND(I552&gt;0,J552&gt;=Assumptions!$B$4),1,0)</f>
        <v/>
      </c>
      <c r="L552" s="3">
        <f>I552*K552</f>
        <v/>
      </c>
      <c r="M552">
        <f>SUM($K$2:K552)</f>
        <v/>
      </c>
    </row>
    <row r="553">
      <c r="A553" t="inlineStr">
        <is>
          <t>310054</t>
        </is>
      </c>
      <c r="B553" t="inlineStr">
        <is>
          <t>Hackensack Meridian Health, Mountainside Medical</t>
        </is>
      </c>
      <c r="C553" t="inlineStr">
        <is>
          <t>NJ</t>
        </is>
      </c>
      <c r="D553" t="inlineStr">
        <is>
          <t>Metropolitan</t>
        </is>
      </c>
      <c r="E553" s="5" t="n">
        <v>1835</v>
      </c>
      <c r="F553" s="4" t="n">
        <v>0.5901907356948229</v>
      </c>
      <c r="G553" s="4" t="n">
        <v>0.6083447040387886</v>
      </c>
      <c r="H553" s="3" t="n">
        <v>25009914.23927508</v>
      </c>
      <c r="I553" s="3" t="n">
        <v>333832.5018699914</v>
      </c>
      <c r="J553" s="4" t="n">
        <v>0.0133480066615241</v>
      </c>
      <c r="K553">
        <f>IF(AND(I553&gt;0,J553&gt;=Assumptions!$B$4),1,0)</f>
        <v/>
      </c>
      <c r="L553" s="3">
        <f>I553*K553</f>
        <v/>
      </c>
      <c r="M553">
        <f>SUM($K$2:K553)</f>
        <v/>
      </c>
    </row>
    <row r="554">
      <c r="A554" t="inlineStr">
        <is>
          <t>360009</t>
        </is>
      </c>
      <c r="B554" t="inlineStr">
        <is>
          <t>Lima Memorial Health System</t>
        </is>
      </c>
      <c r="C554" t="inlineStr">
        <is>
          <t>OH</t>
        </is>
      </c>
      <c r="D554" t="inlineStr">
        <is>
          <t>Metropolitan</t>
        </is>
      </c>
      <c r="E554" s="5" t="n">
        <v>950</v>
      </c>
      <c r="F554" s="4" t="n">
        <v>0.5568421052631579</v>
      </c>
      <c r="G554" s="4" t="n">
        <v>0.6000077765042484</v>
      </c>
      <c r="H554" s="3" t="n">
        <v>14050499.4820962</v>
      </c>
      <c r="I554" s="3" t="n">
        <v>333711.3511860184</v>
      </c>
      <c r="J554" s="4" t="n">
        <v>0.0237508532427084</v>
      </c>
      <c r="K554">
        <f>IF(AND(I554&gt;0,J554&gt;=Assumptions!$B$4),1,0)</f>
        <v/>
      </c>
      <c r="L554" s="3">
        <f>I554*K554</f>
        <v/>
      </c>
      <c r="M554">
        <f>SUM($K$2:K554)</f>
        <v/>
      </c>
    </row>
    <row r="555">
      <c r="A555" t="inlineStr">
        <is>
          <t>100038</t>
        </is>
      </c>
      <c r="B555" t="inlineStr">
        <is>
          <t>Memorial Regional Hospital</t>
        </is>
      </c>
      <c r="C555" t="inlineStr">
        <is>
          <t>FL</t>
        </is>
      </c>
      <c r="D555" t="inlineStr">
        <is>
          <t>Metropolitan</t>
        </is>
      </c>
      <c r="E555" s="5" t="n">
        <v>2519</v>
      </c>
      <c r="F555" s="4" t="n">
        <v>0.5073441842000794</v>
      </c>
      <c r="G555" s="4" t="n">
        <v>0.5543228921772788</v>
      </c>
      <c r="H555" s="3" t="n">
        <v>39582763.51385631</v>
      </c>
      <c r="I555" s="3" t="n">
        <v>333696.5339141935</v>
      </c>
      <c r="J555" s="4" t="n">
        <v>0.0084303495837873</v>
      </c>
      <c r="K555">
        <f>IF(AND(I555&gt;0,J555&gt;=Assumptions!$B$4),1,0)</f>
        <v/>
      </c>
      <c r="L555" s="3">
        <f>I555*K555</f>
        <v/>
      </c>
      <c r="M555">
        <f>SUM($K$2:K555)</f>
        <v/>
      </c>
    </row>
    <row r="556">
      <c r="A556" t="inlineStr">
        <is>
          <t>360364</t>
        </is>
      </c>
      <c r="B556" t="inlineStr">
        <is>
          <t>Cleveland Clinic Avon Hospital</t>
        </is>
      </c>
      <c r="C556" t="inlineStr">
        <is>
          <t>OH</t>
        </is>
      </c>
      <c r="D556" t="inlineStr">
        <is>
          <t>Metropolitan</t>
        </is>
      </c>
      <c r="E556" s="5" t="n">
        <v>1641</v>
      </c>
      <c r="F556" s="4" t="n">
        <v>0.6270566727605119</v>
      </c>
      <c r="G556" s="4" t="n">
        <v>0.6482863633712087</v>
      </c>
      <c r="H556" s="3" t="n">
        <v>21480139.34056129</v>
      </c>
      <c r="I556" s="3" t="n">
        <v>333542.3938834071</v>
      </c>
      <c r="J556" s="4" t="n">
        <v>0.0155279436783528</v>
      </c>
      <c r="K556">
        <f>IF(AND(I556&gt;0,J556&gt;=Assumptions!$B$4),1,0)</f>
        <v/>
      </c>
      <c r="L556" s="3">
        <f>I556*K556</f>
        <v/>
      </c>
      <c r="M556">
        <f>SUM($K$2:K556)</f>
        <v/>
      </c>
    </row>
    <row r="557">
      <c r="A557" t="inlineStr">
        <is>
          <t>220033</t>
        </is>
      </c>
      <c r="B557" t="inlineStr">
        <is>
          <t>Beverly Hospital Corporation</t>
        </is>
      </c>
      <c r="C557" t="inlineStr">
        <is>
          <t>MA</t>
        </is>
      </c>
      <c r="D557" t="inlineStr">
        <is>
          <t>Metropolitan</t>
        </is>
      </c>
      <c r="E557" s="5" t="n">
        <v>4497</v>
      </c>
      <c r="F557" s="4" t="n">
        <v>0.5314654213920391</v>
      </c>
      <c r="G557" s="4" t="n">
        <v>0.5522598655093187</v>
      </c>
      <c r="H557" s="3" t="n">
        <v>58440341.12588412</v>
      </c>
      <c r="I557" s="3" t="n">
        <v>333408.6677660421</v>
      </c>
      <c r="J557" s="4" t="n">
        <v>0.0057051115948803</v>
      </c>
      <c r="K557">
        <f>IF(AND(I557&gt;0,J557&gt;=Assumptions!$B$4),1,0)</f>
        <v/>
      </c>
      <c r="L557" s="3">
        <f>I557*K557</f>
        <v/>
      </c>
      <c r="M557">
        <f>SUM($K$2:K557)</f>
        <v/>
      </c>
    </row>
    <row r="558">
      <c r="A558" t="inlineStr">
        <is>
          <t>230216</t>
        </is>
      </c>
      <c r="B558" t="inlineStr">
        <is>
          <t>Mclaren Port Huron</t>
        </is>
      </c>
      <c r="C558" t="inlineStr">
        <is>
          <t>MI</t>
        </is>
      </c>
      <c r="D558" t="inlineStr">
        <is>
          <t>Metropolitan</t>
        </is>
      </c>
      <c r="E558" s="5" t="n">
        <v>1233</v>
      </c>
      <c r="F558" s="4" t="n">
        <v>0.6188158961881589</v>
      </c>
      <c r="G558" s="4" t="n">
        <v>0.6389244374995201</v>
      </c>
      <c r="H558" s="3" t="n">
        <v>18772907.52523417</v>
      </c>
      <c r="I558" s="3" t="n">
        <v>331900.2605727948</v>
      </c>
      <c r="J558" s="4" t="n">
        <v>0.0176797472701903</v>
      </c>
      <c r="K558">
        <f>IF(AND(I558&gt;0,J558&gt;=Assumptions!$B$4),1,0)</f>
        <v/>
      </c>
      <c r="L558" s="3">
        <f>I558*K558</f>
        <v/>
      </c>
      <c r="M558">
        <f>SUM($K$2:K558)</f>
        <v/>
      </c>
    </row>
    <row r="559">
      <c r="A559" t="inlineStr">
        <is>
          <t>440029</t>
        </is>
      </c>
      <c r="B559" t="inlineStr">
        <is>
          <t>Williamson Medical Center</t>
        </is>
      </c>
      <c r="C559" t="inlineStr">
        <is>
          <t>TN</t>
        </is>
      </c>
      <c r="D559" t="inlineStr">
        <is>
          <t>Metropolitan</t>
        </is>
      </c>
      <c r="E559" s="5" t="n">
        <v>1665</v>
      </c>
      <c r="F559" s="4" t="n">
        <v>0.5243243243243243</v>
      </c>
      <c r="G559" s="4" t="n">
        <v>0.5425961478757388</v>
      </c>
      <c r="H559" s="3" t="n">
        <v>26210380.19940693</v>
      </c>
      <c r="I559" s="3" t="n">
        <v>331075.3226647265</v>
      </c>
      <c r="J559" s="4" t="n">
        <v>0.0126314582293704</v>
      </c>
      <c r="K559">
        <f>IF(AND(I559&gt;0,J559&gt;=Assumptions!$B$4),1,0)</f>
        <v/>
      </c>
      <c r="L559" s="3">
        <f>I559*K559</f>
        <v/>
      </c>
      <c r="M559">
        <f>SUM($K$2:K559)</f>
        <v/>
      </c>
    </row>
    <row r="560">
      <c r="A560" t="inlineStr">
        <is>
          <t>220176</t>
        </is>
      </c>
      <c r="B560" t="inlineStr">
        <is>
          <t>St Vincent Hospital</t>
        </is>
      </c>
      <c r="C560" t="inlineStr">
        <is>
          <t>MA</t>
        </is>
      </c>
      <c r="D560" t="inlineStr">
        <is>
          <t>Metropolitan</t>
        </is>
      </c>
      <c r="E560" s="5" t="n">
        <v>1689</v>
      </c>
      <c r="F560" s="4" t="n">
        <v>0.5973949082297217</v>
      </c>
      <c r="G560" s="4" t="n">
        <v>0.6132653737936988</v>
      </c>
      <c r="H560" s="3" t="n">
        <v>24086676.09777465</v>
      </c>
      <c r="I560" s="3" t="n">
        <v>331026.1626223214</v>
      </c>
      <c r="J560" s="4" t="n">
        <v>0.013743123429675</v>
      </c>
      <c r="K560">
        <f>IF(AND(I560&gt;0,J560&gt;=Assumptions!$B$4),1,0)</f>
        <v/>
      </c>
      <c r="L560" s="3">
        <f>I560*K560</f>
        <v/>
      </c>
      <c r="M560">
        <f>SUM($K$2:K560)</f>
        <v/>
      </c>
    </row>
    <row r="561">
      <c r="A561" t="inlineStr">
        <is>
          <t>340158</t>
        </is>
      </c>
      <c r="B561" t="inlineStr">
        <is>
          <t>Novant Health Brunswick Medical Center</t>
        </is>
      </c>
      <c r="C561" t="inlineStr">
        <is>
          <t>NC</t>
        </is>
      </c>
      <c r="D561" t="inlineStr">
        <is>
          <t>Rural</t>
        </is>
      </c>
      <c r="E561" s="5" t="n">
        <v>966</v>
      </c>
      <c r="F561" s="4" t="n">
        <v>0.5610766045548654</v>
      </c>
      <c r="G561" s="4" t="n">
        <v>0.6255336280128084</v>
      </c>
      <c r="H561" s="3" t="n">
        <v>12431592.56629608</v>
      </c>
      <c r="I561" s="3" t="n">
        <v>329524.900223935</v>
      </c>
      <c r="J561" s="4" t="n">
        <v>0.0265070543831469</v>
      </c>
      <c r="K561">
        <f>IF(AND(I561&gt;0,J561&gt;=Assumptions!$B$4),1,0)</f>
        <v/>
      </c>
      <c r="L561" s="3">
        <f>I561*K561</f>
        <v/>
      </c>
      <c r="M561">
        <f>SUM($K$2:K561)</f>
        <v/>
      </c>
    </row>
    <row r="562">
      <c r="A562" t="inlineStr">
        <is>
          <t>450890</t>
        </is>
      </c>
      <c r="B562" t="inlineStr">
        <is>
          <t>Baylor Regional Medical Center At Plano</t>
        </is>
      </c>
      <c r="C562" t="inlineStr">
        <is>
          <t>TX</t>
        </is>
      </c>
      <c r="D562" t="inlineStr">
        <is>
          <t>Metropolitan</t>
        </is>
      </c>
      <c r="E562" s="5" t="n">
        <v>2036</v>
      </c>
      <c r="F562" s="4" t="n">
        <v>0.4990176817288801</v>
      </c>
      <c r="G562" s="4" t="n">
        <v>0.5452791310919951</v>
      </c>
      <c r="H562" s="3" t="n">
        <v>29469091.65514136</v>
      </c>
      <c r="I562" s="3" t="n">
        <v>329512.4161598273</v>
      </c>
      <c r="J562" s="4" t="n">
        <v>0.0111816278566</v>
      </c>
      <c r="K562">
        <f>IF(AND(I562&gt;0,J562&gt;=Assumptions!$B$4),1,0)</f>
        <v/>
      </c>
      <c r="L562" s="3">
        <f>I562*K562</f>
        <v/>
      </c>
      <c r="M562">
        <f>SUM($K$2:K562)</f>
        <v/>
      </c>
    </row>
    <row r="563">
      <c r="A563" t="inlineStr">
        <is>
          <t>360137</t>
        </is>
      </c>
      <c r="B563" t="inlineStr">
        <is>
          <t>Uh Cleveland Medical Center</t>
        </is>
      </c>
      <c r="C563" t="inlineStr">
        <is>
          <t>OH</t>
        </is>
      </c>
      <c r="D563" t="inlineStr">
        <is>
          <t>Metropolitan</t>
        </is>
      </c>
      <c r="E563" s="5" t="n">
        <v>2928</v>
      </c>
      <c r="F563" s="4" t="n">
        <v>0.4743852459016393</v>
      </c>
      <c r="G563" s="4" t="n">
        <v>0.4808748458454767</v>
      </c>
      <c r="H563" s="3" t="n">
        <v>69049096.82665996</v>
      </c>
      <c r="I563" s="3" t="n">
        <v>327552.8767547011</v>
      </c>
      <c r="J563" s="4" t="n">
        <v>0.0047437677219296</v>
      </c>
      <c r="K563">
        <f>IF(AND(I563&gt;0,J563&gt;=Assumptions!$B$4),1,0)</f>
        <v/>
      </c>
      <c r="L563" s="3">
        <f>I563*K563</f>
        <v/>
      </c>
      <c r="M563">
        <f>SUM($K$2:K563)</f>
        <v/>
      </c>
    </row>
    <row r="564">
      <c r="A564" t="inlineStr">
        <is>
          <t>100035</t>
        </is>
      </c>
      <c r="B564" t="inlineStr">
        <is>
          <t>Manatee Memorial Hospital</t>
        </is>
      </c>
      <c r="C564" t="inlineStr">
        <is>
          <t>FL</t>
        </is>
      </c>
      <c r="D564" t="inlineStr">
        <is>
          <t>Metropolitan</t>
        </is>
      </c>
      <c r="E564" s="5" t="n">
        <v>2578</v>
      </c>
      <c r="F564" s="4" t="n">
        <v>0.5104732350659426</v>
      </c>
      <c r="G564" s="4" t="n">
        <v>0.5310699695397748</v>
      </c>
      <c r="H564" s="3" t="n">
        <v>45928627.06563765</v>
      </c>
      <c r="I564" s="3" t="n">
        <v>325461.3335163221</v>
      </c>
      <c r="J564" s="4" t="n">
        <v>0.0070862412902349</v>
      </c>
      <c r="K564">
        <f>IF(AND(I564&gt;0,J564&gt;=Assumptions!$B$4),1,0)</f>
        <v/>
      </c>
      <c r="L564" s="3">
        <f>I564*K564</f>
        <v/>
      </c>
      <c r="M564">
        <f>SUM($K$2:K564)</f>
        <v/>
      </c>
    </row>
    <row r="565">
      <c r="A565" t="inlineStr">
        <is>
          <t>340039</t>
        </is>
      </c>
      <c r="B565" t="inlineStr">
        <is>
          <t>Iredell Memorial Hospital Inc</t>
        </is>
      </c>
      <c r="C565" t="inlineStr">
        <is>
          <t>NC</t>
        </is>
      </c>
      <c r="D565" t="inlineStr">
        <is>
          <t>Metropolitan</t>
        </is>
      </c>
      <c r="E565" s="5" t="n">
        <v>983</v>
      </c>
      <c r="F565" s="4" t="n">
        <v>0.5798575788402849</v>
      </c>
      <c r="G565" s="4" t="n">
        <v>0.6555046931425873</v>
      </c>
      <c r="H565" s="3" t="n">
        <v>13117533.31796747</v>
      </c>
      <c r="I565" s="3" t="n">
        <v>324240.0532299187</v>
      </c>
      <c r="J565" s="4" t="n">
        <v>0.0247180659176064</v>
      </c>
      <c r="K565">
        <f>IF(AND(I565&gt;0,J565&gt;=Assumptions!$B$4),1,0)</f>
        <v/>
      </c>
      <c r="L565" s="3">
        <f>I565*K565</f>
        <v/>
      </c>
      <c r="M565">
        <f>SUM($K$2:K565)</f>
        <v/>
      </c>
    </row>
    <row r="566">
      <c r="A566" t="inlineStr">
        <is>
          <t>310011</t>
        </is>
      </c>
      <c r="B566" t="inlineStr">
        <is>
          <t>Cape Regional Medical Center, Inc</t>
        </is>
      </c>
      <c r="C566" t="inlineStr">
        <is>
          <t>NJ</t>
        </is>
      </c>
      <c r="D566" t="inlineStr">
        <is>
          <t>Metropolitan</t>
        </is>
      </c>
      <c r="E566" s="5" t="n">
        <v>1662</v>
      </c>
      <c r="F566" s="4" t="n">
        <v>0.5842358604091457</v>
      </c>
      <c r="G566" s="4" t="n">
        <v>0.6244068453995253</v>
      </c>
      <c r="H566" s="3" t="n">
        <v>20710730.32819021</v>
      </c>
      <c r="I566" s="3" t="n">
        <v>320919.2837301269</v>
      </c>
      <c r="J566" s="4" t="n">
        <v>0.0154953146820375</v>
      </c>
      <c r="K566">
        <f>IF(AND(I566&gt;0,J566&gt;=Assumptions!$B$4),1,0)</f>
        <v/>
      </c>
      <c r="L566" s="3">
        <f>I566*K566</f>
        <v/>
      </c>
      <c r="M566">
        <f>SUM($K$2:K566)</f>
        <v/>
      </c>
    </row>
    <row r="567">
      <c r="A567" t="inlineStr">
        <is>
          <t>380002</t>
        </is>
      </c>
      <c r="B567" t="inlineStr">
        <is>
          <t>Asante Three Rivers Medical Center</t>
        </is>
      </c>
      <c r="C567" t="inlineStr">
        <is>
          <t>OR</t>
        </is>
      </c>
      <c r="D567" t="inlineStr">
        <is>
          <t>Metropolitan</t>
        </is>
      </c>
      <c r="E567" s="5" t="n">
        <v>824</v>
      </c>
      <c r="F567" s="4" t="n">
        <v>0.5910194174757282</v>
      </c>
      <c r="G567" s="4" t="n">
        <v>0.6473769975850375</v>
      </c>
      <c r="H567" s="3" t="n">
        <v>12092820.67905578</v>
      </c>
      <c r="I567" s="3" t="n">
        <v>318959.1001513451</v>
      </c>
      <c r="J567" s="4" t="n">
        <v>0.026375905888009</v>
      </c>
      <c r="K567">
        <f>IF(AND(I567&gt;0,J567&gt;=Assumptions!$B$4),1,0)</f>
        <v/>
      </c>
      <c r="L567" s="3">
        <f>I567*K567</f>
        <v/>
      </c>
      <c r="M567">
        <f>SUM($K$2:K567)</f>
        <v/>
      </c>
    </row>
    <row r="568">
      <c r="A568" t="inlineStr">
        <is>
          <t>100025</t>
        </is>
      </c>
      <c r="B568" t="inlineStr">
        <is>
          <t>Ascension Sacred Heart Pensacola</t>
        </is>
      </c>
      <c r="C568" t="inlineStr">
        <is>
          <t>FL</t>
        </is>
      </c>
      <c r="D568" t="inlineStr">
        <is>
          <t>Metropolitan</t>
        </is>
      </c>
      <c r="E568" s="5" t="n">
        <v>3925</v>
      </c>
      <c r="F568" s="4" t="n">
        <v>0.544968152866242</v>
      </c>
      <c r="G568" s="4" t="n">
        <v>0.5416703835802245</v>
      </c>
      <c r="H568" s="3" t="n">
        <v>67770293.18913947</v>
      </c>
      <c r="I568" s="3" t="n">
        <v>318500.6320920438</v>
      </c>
      <c r="J568" s="4" t="n">
        <v>0.0046997086349197</v>
      </c>
      <c r="K568">
        <f>IF(AND(I568&gt;0,J568&gt;=Assumptions!$B$4),1,0)</f>
        <v/>
      </c>
      <c r="L568" s="3">
        <f>I568*K568</f>
        <v/>
      </c>
      <c r="M568">
        <f>SUM($K$2:K568)</f>
        <v/>
      </c>
    </row>
    <row r="569">
      <c r="A569" t="inlineStr">
        <is>
          <t>410006</t>
        </is>
      </c>
      <c r="B569" t="inlineStr">
        <is>
          <t>Newport Hospital</t>
        </is>
      </c>
      <c r="C569" t="inlineStr">
        <is>
          <t>RI</t>
        </is>
      </c>
      <c r="D569" t="inlineStr">
        <is>
          <t>Metropolitan</t>
        </is>
      </c>
      <c r="E569" s="5" t="n">
        <v>639</v>
      </c>
      <c r="F569" s="4" t="n">
        <v>0.5586854460093896</v>
      </c>
      <c r="G569" s="4" t="n">
        <v>0.638346072326034</v>
      </c>
      <c r="H569" s="3" t="n">
        <v>7763910.391517346</v>
      </c>
      <c r="I569" s="3" t="n">
        <v>317935.8588035424</v>
      </c>
      <c r="J569" s="4" t="n">
        <v>0.0409504802052984</v>
      </c>
      <c r="K569">
        <f>IF(AND(I569&gt;0,J569&gt;=Assumptions!$B$4),1,0)</f>
        <v/>
      </c>
      <c r="L569" s="3">
        <f>I569*K569</f>
        <v/>
      </c>
      <c r="M569">
        <f>SUM($K$2:K569)</f>
        <v/>
      </c>
    </row>
    <row r="570">
      <c r="A570" t="inlineStr">
        <is>
          <t>110042</t>
        </is>
      </c>
      <c r="B570" t="inlineStr">
        <is>
          <t>Wellstar Paulding Medical Center</t>
        </is>
      </c>
      <c r="C570" t="inlineStr">
        <is>
          <t>GA</t>
        </is>
      </c>
      <c r="D570" t="inlineStr">
        <is>
          <t>Metropolitan</t>
        </is>
      </c>
      <c r="E570" s="5" t="n">
        <v>1668</v>
      </c>
      <c r="F570" s="4" t="n">
        <v>0.6432853717026379</v>
      </c>
      <c r="G570" s="4" t="n">
        <v>0.6561685974233988</v>
      </c>
      <c r="H570" s="3" t="n">
        <v>21265692.98789392</v>
      </c>
      <c r="I570" s="3" t="n">
        <v>317530.9621268511</v>
      </c>
      <c r="J570" s="4" t="n">
        <v>0.0149316066167048</v>
      </c>
      <c r="K570">
        <f>IF(AND(I570&gt;0,J570&gt;=Assumptions!$B$4),1,0)</f>
        <v/>
      </c>
      <c r="L570" s="3">
        <f>I570*K570</f>
        <v/>
      </c>
      <c r="M570">
        <f>SUM($K$2:K570)</f>
        <v/>
      </c>
    </row>
    <row r="571">
      <c r="A571" t="inlineStr">
        <is>
          <t>270057</t>
        </is>
      </c>
      <c r="B571" t="inlineStr">
        <is>
          <t>Bozeman Health Deaconess Regional Medical Center</t>
        </is>
      </c>
      <c r="C571" t="inlineStr">
        <is>
          <t>MT</t>
        </is>
      </c>
      <c r="D571" t="inlineStr">
        <is>
          <t>Micropolitan</t>
        </is>
      </c>
      <c r="E571" s="5" t="n">
        <v>877</v>
      </c>
      <c r="F571" s="4" t="n">
        <v>0.5587229190421893</v>
      </c>
      <c r="G571" s="4" t="n">
        <v>0.597774711578505</v>
      </c>
      <c r="H571" s="3" t="n">
        <v>13964043.4045485</v>
      </c>
      <c r="I571" s="3" t="n">
        <v>316846.7221177053</v>
      </c>
      <c r="J571" s="4" t="n">
        <v>0.0226901845646296</v>
      </c>
      <c r="K571">
        <f>IF(AND(I571&gt;0,J571&gt;=Assumptions!$B$4),1,0)</f>
        <v/>
      </c>
      <c r="L571" s="3">
        <f>I571*K571</f>
        <v/>
      </c>
      <c r="M571">
        <f>SUM($K$2:K571)</f>
        <v/>
      </c>
    </row>
    <row r="572">
      <c r="A572" t="inlineStr">
        <is>
          <t>370211</t>
        </is>
      </c>
      <c r="B572" t="inlineStr">
        <is>
          <t>Integris Canadian Valley Hospital</t>
        </is>
      </c>
      <c r="C572" t="inlineStr">
        <is>
          <t>OK</t>
        </is>
      </c>
      <c r="D572" t="inlineStr">
        <is>
          <t>Metropolitan</t>
        </is>
      </c>
      <c r="E572" s="5" t="n">
        <v>485</v>
      </c>
      <c r="F572" s="4" t="n">
        <v>0.5278350515463918</v>
      </c>
      <c r="G572" s="4" t="n">
        <v>0.6478616462260074</v>
      </c>
      <c r="H572" s="3" t="n">
        <v>6103099.304256323</v>
      </c>
      <c r="I572" s="3" t="n">
        <v>315264.3565235464</v>
      </c>
      <c r="J572" s="4" t="n">
        <v>0.0516564356578107</v>
      </c>
      <c r="K572">
        <f>IF(AND(I572&gt;0,J572&gt;=Assumptions!$B$4),1,0)</f>
        <v/>
      </c>
      <c r="L572" s="3">
        <f>I572*K572</f>
        <v/>
      </c>
      <c r="M572">
        <f>SUM($K$2:K572)</f>
        <v/>
      </c>
    </row>
    <row r="573">
      <c r="A573" t="inlineStr">
        <is>
          <t>380014</t>
        </is>
      </c>
      <c r="B573" t="inlineStr">
        <is>
          <t>Good Samaritan Regional Medical Center</t>
        </is>
      </c>
      <c r="C573" t="inlineStr">
        <is>
          <t>OR</t>
        </is>
      </c>
      <c r="D573" t="inlineStr">
        <is>
          <t>Metropolitan</t>
        </is>
      </c>
      <c r="E573" s="5" t="n">
        <v>951</v>
      </c>
      <c r="F573" s="4" t="n">
        <v>0.5236593059936908</v>
      </c>
      <c r="G573" s="4" t="n">
        <v>0.5628778662680408</v>
      </c>
      <c r="H573" s="3" t="n">
        <v>16259203.36995562</v>
      </c>
      <c r="I573" s="3" t="n">
        <v>312934.6496607848</v>
      </c>
      <c r="J573" s="4" t="n">
        <v>0.0192466163649221</v>
      </c>
      <c r="K573">
        <f>IF(AND(I573&gt;0,J573&gt;=Assumptions!$B$4),1,0)</f>
        <v/>
      </c>
      <c r="L573" s="3">
        <f>I573*K573</f>
        <v/>
      </c>
      <c r="M573">
        <f>SUM($K$2:K573)</f>
        <v/>
      </c>
    </row>
    <row r="574">
      <c r="A574" t="inlineStr">
        <is>
          <t>390223</t>
        </is>
      </c>
      <c r="B574" t="inlineStr">
        <is>
          <t>Penn Presbyterian Medical Center</t>
        </is>
      </c>
      <c r="C574" t="inlineStr">
        <is>
          <t>PA</t>
        </is>
      </c>
      <c r="D574" t="inlineStr">
        <is>
          <t>Metropolitan</t>
        </is>
      </c>
      <c r="E574" s="5" t="n">
        <v>2201</v>
      </c>
      <c r="F574" s="4" t="n">
        <v>0.4620626987732849</v>
      </c>
      <c r="G574" s="4" t="n">
        <v>0.4697134750342197</v>
      </c>
      <c r="H574" s="3" t="n">
        <v>49140023.1619371</v>
      </c>
      <c r="I574" s="3" t="n">
        <v>311971.1452033445</v>
      </c>
      <c r="J574" s="4" t="n">
        <v>0.006348616161113</v>
      </c>
      <c r="K574">
        <f>IF(AND(I574&gt;0,J574&gt;=Assumptions!$B$4),1,0)</f>
        <v/>
      </c>
      <c r="L574" s="3">
        <f>I574*K574</f>
        <v/>
      </c>
      <c r="M574">
        <f>SUM($K$2:K574)</f>
        <v/>
      </c>
    </row>
    <row r="575">
      <c r="A575" t="inlineStr">
        <is>
          <t>520021</t>
        </is>
      </c>
      <c r="B575" t="inlineStr">
        <is>
          <t>Froedtert South - Froedtert Pleasant Prairie</t>
        </is>
      </c>
      <c r="C575" t="inlineStr">
        <is>
          <t>WI</t>
        </is>
      </c>
      <c r="D575" t="inlineStr">
        <is>
          <t>Metropolitan</t>
        </is>
      </c>
      <c r="E575" s="5" t="n">
        <v>669</v>
      </c>
      <c r="F575" s="4" t="n">
        <v>0.5351270553064275</v>
      </c>
      <c r="G575" s="4" t="n">
        <v>0.6185071726635102</v>
      </c>
      <c r="H575" s="3" t="n">
        <v>8581626.985741517</v>
      </c>
      <c r="I575" s="3" t="n">
        <v>311360.7349818563</v>
      </c>
      <c r="J575" s="4" t="n">
        <v>0.0362822499159175</v>
      </c>
      <c r="K575">
        <f>IF(AND(I575&gt;0,J575&gt;=Assumptions!$B$4),1,0)</f>
        <v/>
      </c>
      <c r="L575" s="3">
        <f>I575*K575</f>
        <v/>
      </c>
      <c r="M575">
        <f>SUM($K$2:K575)</f>
        <v/>
      </c>
    </row>
    <row r="576">
      <c r="A576" t="inlineStr">
        <is>
          <t>380020</t>
        </is>
      </c>
      <c r="B576" t="inlineStr">
        <is>
          <t>Mckenzie-Willamette Medical Center</t>
        </is>
      </c>
      <c r="C576" t="inlineStr">
        <is>
          <t>OR</t>
        </is>
      </c>
      <c r="D576" t="inlineStr">
        <is>
          <t>Metropolitan</t>
        </is>
      </c>
      <c r="E576" s="5" t="n">
        <v>524</v>
      </c>
      <c r="F576" s="4" t="n">
        <v>0.5954198473282443</v>
      </c>
      <c r="G576" s="4" t="n">
        <v>0.5707926144572816</v>
      </c>
      <c r="H576" s="3" t="n">
        <v>11132652.06345092</v>
      </c>
      <c r="I576" s="3" t="n">
        <v>310710.3272674773</v>
      </c>
      <c r="J576" s="4" t="n">
        <v>0.0279098210827548</v>
      </c>
      <c r="K576">
        <f>IF(AND(I576&gt;0,J576&gt;=Assumptions!$B$4),1,0)</f>
        <v/>
      </c>
      <c r="L576" s="3">
        <f>I576*K576</f>
        <v/>
      </c>
      <c r="M576">
        <f>SUM($K$2:K576)</f>
        <v/>
      </c>
    </row>
    <row r="577">
      <c r="A577" t="inlineStr">
        <is>
          <t>390037</t>
        </is>
      </c>
      <c r="B577" t="inlineStr">
        <is>
          <t>Heritage Valley Sewickley</t>
        </is>
      </c>
      <c r="C577" t="inlineStr">
        <is>
          <t>PA</t>
        </is>
      </c>
      <c r="D577" t="inlineStr">
        <is>
          <t>Metropolitan</t>
        </is>
      </c>
      <c r="E577" s="5" t="n">
        <v>309</v>
      </c>
      <c r="F577" s="4" t="n">
        <v>0.598705501618123</v>
      </c>
      <c r="G577" s="4" t="n">
        <v>0.6432901297191802</v>
      </c>
      <c r="H577" s="3" t="n">
        <v>4967610.818029059</v>
      </c>
      <c r="I577" s="3" t="n">
        <v>306910.1982297152</v>
      </c>
      <c r="J577" s="4" t="n">
        <v>0.0617822549858051</v>
      </c>
      <c r="K577">
        <f>IF(AND(I577&gt;0,J577&gt;=Assumptions!$B$4),1,0)</f>
        <v/>
      </c>
      <c r="L577" s="3">
        <f>I577*K577</f>
        <v/>
      </c>
      <c r="M577">
        <f>SUM($K$2:K577)</f>
        <v/>
      </c>
    </row>
    <row r="578">
      <c r="A578" t="inlineStr">
        <is>
          <t>100008</t>
        </is>
      </c>
      <c r="B578" t="inlineStr">
        <is>
          <t>Baptist Hospital Of Miami</t>
        </is>
      </c>
      <c r="C578" t="inlineStr">
        <is>
          <t>FL</t>
        </is>
      </c>
      <c r="D578" t="inlineStr">
        <is>
          <t>Metropolitan</t>
        </is>
      </c>
      <c r="E578" s="5" t="n">
        <v>3681</v>
      </c>
      <c r="F578" s="4" t="n">
        <v>0.6033686498234175</v>
      </c>
      <c r="G578" s="4" t="n">
        <v>0.6085807303765588</v>
      </c>
      <c r="H578" s="3" t="n">
        <v>64772513.33935368</v>
      </c>
      <c r="I578" s="3" t="n">
        <v>306504.5010021552</v>
      </c>
      <c r="J578" s="4" t="n">
        <v>0.0047320149427632</v>
      </c>
      <c r="K578">
        <f>IF(AND(I578&gt;0,J578&gt;=Assumptions!$B$4),1,0)</f>
        <v/>
      </c>
      <c r="L578" s="3">
        <f>I578*K578</f>
        <v/>
      </c>
      <c r="M578">
        <f>SUM($K$2:K578)</f>
        <v/>
      </c>
    </row>
    <row r="579">
      <c r="A579" t="inlineStr">
        <is>
          <t>110069</t>
        </is>
      </c>
      <c r="B579" t="inlineStr">
        <is>
          <t>Houston Healthcare</t>
        </is>
      </c>
      <c r="C579" t="inlineStr">
        <is>
          <t>GA</t>
        </is>
      </c>
      <c r="D579" t="inlineStr">
        <is>
          <t>Metropolitan</t>
        </is>
      </c>
      <c r="E579" s="5" t="n">
        <v>2174</v>
      </c>
      <c r="F579" s="4" t="n">
        <v>0.5919963201471942</v>
      </c>
      <c r="G579" s="4" t="n">
        <v>0.6051507971710682</v>
      </c>
      <c r="H579" s="3" t="n">
        <v>28845952.66172723</v>
      </c>
      <c r="I579" s="3" t="n">
        <v>304372.6425983123</v>
      </c>
      <c r="J579" s="4" t="n">
        <v>0.0105516585348263</v>
      </c>
      <c r="K579">
        <f>IF(AND(I579&gt;0,J579&gt;=Assumptions!$B$4),1,0)</f>
        <v/>
      </c>
      <c r="L579" s="3">
        <f>I579*K579</f>
        <v/>
      </c>
      <c r="M579">
        <f>SUM($K$2:K579)</f>
        <v/>
      </c>
    </row>
    <row r="580">
      <c r="A580" t="inlineStr">
        <is>
          <t>110024</t>
        </is>
      </c>
      <c r="B580" t="inlineStr">
        <is>
          <t>Candler Hospital</t>
        </is>
      </c>
      <c r="C580" t="inlineStr">
        <is>
          <t>GA</t>
        </is>
      </c>
      <c r="D580" t="inlineStr">
        <is>
          <t>Metropolitan</t>
        </is>
      </c>
      <c r="E580" s="5" t="n">
        <v>987</v>
      </c>
      <c r="F580" s="4" t="n">
        <v>0.6089159067882473</v>
      </c>
      <c r="G580" s="4" t="n">
        <v>0.6310178926677028</v>
      </c>
      <c r="H580" s="3" t="n">
        <v>14240556.03239345</v>
      </c>
      <c r="I580" s="3" t="n">
        <v>302303.1500294544</v>
      </c>
      <c r="J580" s="4" t="n">
        <v>0.02122832488716</v>
      </c>
      <c r="K580">
        <f>IF(AND(I580&gt;0,J580&gt;=Assumptions!$B$4),1,0)</f>
        <v/>
      </c>
      <c r="L580" s="3">
        <f>I580*K580</f>
        <v/>
      </c>
      <c r="M580">
        <f>SUM($K$2:K580)</f>
        <v/>
      </c>
    </row>
    <row r="581">
      <c r="A581" t="inlineStr">
        <is>
          <t>420026</t>
        </is>
      </c>
      <c r="B581" t="inlineStr">
        <is>
          <t>Musc Health Columbia Medical Center Downtown</t>
        </is>
      </c>
      <c r="C581" t="inlineStr">
        <is>
          <t>SC</t>
        </is>
      </c>
      <c r="D581" t="inlineStr">
        <is>
          <t>Metropolitan</t>
        </is>
      </c>
      <c r="E581" s="5" t="n">
        <v>1647</v>
      </c>
      <c r="F581" s="4" t="n">
        <v>0.5081967213114754</v>
      </c>
      <c r="G581" s="4" t="n">
        <v>0.509597731755822</v>
      </c>
      <c r="H581" s="3" t="n">
        <v>30481742.77205999</v>
      </c>
      <c r="I581" s="3" t="n">
        <v>300843.6568160914</v>
      </c>
      <c r="J581" s="4" t="n">
        <v>0.0098696343928159</v>
      </c>
      <c r="K581">
        <f>IF(AND(I581&gt;0,J581&gt;=Assumptions!$B$4),1,0)</f>
        <v/>
      </c>
      <c r="L581" s="3">
        <f>I581*K581</f>
        <v/>
      </c>
      <c r="M581">
        <f>SUM($K$2:K581)</f>
        <v/>
      </c>
    </row>
    <row r="582">
      <c r="A582" t="inlineStr">
        <is>
          <t>230105</t>
        </is>
      </c>
      <c r="B582" t="inlineStr">
        <is>
          <t>Mclaren Northern Michigan</t>
        </is>
      </c>
      <c r="C582" t="inlineStr">
        <is>
          <t>MI</t>
        </is>
      </c>
      <c r="D582" t="inlineStr">
        <is>
          <t>Small town</t>
        </is>
      </c>
      <c r="E582" s="5" t="n">
        <v>1069</v>
      </c>
      <c r="F582" s="4" t="n">
        <v>0.568755846585594</v>
      </c>
      <c r="G582" s="4" t="n">
        <v>0.6101936802731719</v>
      </c>
      <c r="H582" s="3" t="n">
        <v>17019434.88128189</v>
      </c>
      <c r="I582" s="3" t="n">
        <v>300714.9531927314</v>
      </c>
      <c r="J582" s="4" t="n">
        <v>0.0176689152895117</v>
      </c>
      <c r="K582">
        <f>IF(AND(I582&gt;0,J582&gt;=Assumptions!$B$4),1,0)</f>
        <v/>
      </c>
      <c r="L582" s="3">
        <f>I582*K582</f>
        <v/>
      </c>
      <c r="M582">
        <f>SUM($K$2:K582)</f>
        <v/>
      </c>
    </row>
    <row r="583">
      <c r="A583" t="inlineStr">
        <is>
          <t>220019</t>
        </is>
      </c>
      <c r="B583" t="inlineStr">
        <is>
          <t>Umass Memorial Healh - Harrington Hospital</t>
        </is>
      </c>
      <c r="C583" t="inlineStr">
        <is>
          <t>MA</t>
        </is>
      </c>
      <c r="D583" t="inlineStr">
        <is>
          <t>Metropolitan</t>
        </is>
      </c>
      <c r="E583" s="5" t="n">
        <v>771</v>
      </c>
      <c r="F583" s="4" t="n">
        <v>0.5940337224383917</v>
      </c>
      <c r="G583" s="4" t="n">
        <v>0.6749168832315421</v>
      </c>
      <c r="H583" s="3" t="n">
        <v>8920136.969065437</v>
      </c>
      <c r="I583" s="3" t="n">
        <v>300602.6737508383</v>
      </c>
      <c r="J583" s="4" t="n">
        <v>0.0336993338547729</v>
      </c>
      <c r="K583">
        <f>IF(AND(I583&gt;0,J583&gt;=Assumptions!$B$4),1,0)</f>
        <v/>
      </c>
      <c r="L583" s="3">
        <f>I583*K583</f>
        <v/>
      </c>
      <c r="M583">
        <f>SUM($K$2:K583)</f>
        <v/>
      </c>
    </row>
    <row r="584">
      <c r="A584" t="inlineStr">
        <is>
          <t>130028</t>
        </is>
      </c>
      <c r="B584" t="inlineStr">
        <is>
          <t>Portneuf Medical Center</t>
        </is>
      </c>
      <c r="C584" t="inlineStr">
        <is>
          <t>ID</t>
        </is>
      </c>
      <c r="D584" t="inlineStr">
        <is>
          <t>Metropolitan</t>
        </is>
      </c>
      <c r="E584" s="5" t="n">
        <v>1032</v>
      </c>
      <c r="F584" s="4" t="n">
        <v>0.6143410852713178</v>
      </c>
      <c r="G584" s="4" t="n">
        <v>0.6149550802613113</v>
      </c>
      <c r="H584" s="3" t="n">
        <v>17414279.65627519</v>
      </c>
      <c r="I584" s="3" t="n">
        <v>300546.0623447262</v>
      </c>
      <c r="J584" s="4" t="n">
        <v>0.0172585985913247</v>
      </c>
      <c r="K584">
        <f>IF(AND(I584&gt;0,J584&gt;=Assumptions!$B$4),1,0)</f>
        <v/>
      </c>
      <c r="L584" s="3">
        <f>I584*K584</f>
        <v/>
      </c>
      <c r="M584">
        <f>SUM($K$2:K584)</f>
        <v/>
      </c>
    </row>
    <row r="585">
      <c r="A585" t="inlineStr">
        <is>
          <t>330197</t>
        </is>
      </c>
      <c r="B585" t="inlineStr">
        <is>
          <t>Canton-Potsdam Hospital</t>
        </is>
      </c>
      <c r="C585" t="inlineStr">
        <is>
          <t>NY</t>
        </is>
      </c>
      <c r="D585" t="inlineStr">
        <is>
          <t>Small town</t>
        </is>
      </c>
      <c r="E585" s="5" t="n">
        <v>575</v>
      </c>
      <c r="F585" s="4" t="n">
        <v>0.6052173913043478</v>
      </c>
      <c r="G585" s="4" t="n">
        <v>0.7099740385764032</v>
      </c>
      <c r="H585" s="3" t="n">
        <v>8274808.274781981</v>
      </c>
      <c r="I585" s="3" t="n">
        <v>298793.1671549221</v>
      </c>
      <c r="J585" s="4" t="n">
        <v>0.0361087722195949</v>
      </c>
      <c r="K585">
        <f>IF(AND(I585&gt;0,J585&gt;=Assumptions!$B$4),1,0)</f>
        <v/>
      </c>
      <c r="L585" s="3">
        <f>I585*K585</f>
        <v/>
      </c>
      <c r="M585">
        <f>SUM($K$2:K585)</f>
        <v/>
      </c>
    </row>
    <row r="586">
      <c r="A586" t="inlineStr">
        <is>
          <t>370218</t>
        </is>
      </c>
      <c r="B586" t="inlineStr">
        <is>
          <t>Saint Francis Hospital South, Llc</t>
        </is>
      </c>
      <c r="C586" t="inlineStr">
        <is>
          <t>OK</t>
        </is>
      </c>
      <c r="D586" t="inlineStr">
        <is>
          <t>Metropolitan</t>
        </is>
      </c>
      <c r="E586" s="5" t="n">
        <v>954</v>
      </c>
      <c r="F586" s="4" t="n">
        <v>0.6582809224318659</v>
      </c>
      <c r="G586" s="4" t="n">
        <v>0.6865153150832005</v>
      </c>
      <c r="H586" s="3" t="n">
        <v>13441679.54856778</v>
      </c>
      <c r="I586" s="3" t="n">
        <v>295918.390733093</v>
      </c>
      <c r="J586" s="4" t="n">
        <v>0.022014986271907</v>
      </c>
      <c r="K586">
        <f>IF(AND(I586&gt;0,J586&gt;=Assumptions!$B$4),1,0)</f>
        <v/>
      </c>
      <c r="L586" s="3">
        <f>I586*K586</f>
        <v/>
      </c>
      <c r="M586">
        <f>SUM($K$2:K586)</f>
        <v/>
      </c>
    </row>
    <row r="587">
      <c r="A587" t="inlineStr">
        <is>
          <t>280128</t>
        </is>
      </c>
      <c r="B587" t="inlineStr">
        <is>
          <t>Chi Health Nebraska Heart</t>
        </is>
      </c>
      <c r="C587" t="inlineStr">
        <is>
          <t>NE</t>
        </is>
      </c>
      <c r="D587" t="inlineStr">
        <is>
          <t>Metropolitan</t>
        </is>
      </c>
      <c r="E587" s="5" t="n">
        <v>840</v>
      </c>
      <c r="F587" s="4" t="n">
        <v>0.288095238095238</v>
      </c>
      <c r="G587" s="4" t="n">
        <v>0.3214826367734278</v>
      </c>
      <c r="H587" s="3" t="n">
        <v>24745681.55755553</v>
      </c>
      <c r="I587" s="3" t="n">
        <v>294841.7090184577</v>
      </c>
      <c r="J587" s="4" t="n">
        <v>0.011914875261475</v>
      </c>
      <c r="K587">
        <f>IF(AND(I587&gt;0,J587&gt;=Assumptions!$B$4),1,0)</f>
        <v/>
      </c>
      <c r="L587" s="3">
        <f>I587*K587</f>
        <v/>
      </c>
      <c r="M587">
        <f>SUM($K$2:K587)</f>
        <v/>
      </c>
    </row>
    <row r="588">
      <c r="A588" t="inlineStr">
        <is>
          <t>230059</t>
        </is>
      </c>
      <c r="B588" t="inlineStr">
        <is>
          <t>Trinity Health Grand Rapids Hospital</t>
        </is>
      </c>
      <c r="C588" t="inlineStr">
        <is>
          <t>MI</t>
        </is>
      </c>
      <c r="D588" t="inlineStr">
        <is>
          <t>Metropolitan</t>
        </is>
      </c>
      <c r="E588" s="5" t="n">
        <v>1139</v>
      </c>
      <c r="F588" s="4" t="n">
        <v>0.62071992976295</v>
      </c>
      <c r="G588" s="4" t="n">
        <v>0.6407352621406033</v>
      </c>
      <c r="H588" s="3" t="n">
        <v>17580256.07652251</v>
      </c>
      <c r="I588" s="3" t="n">
        <v>294592.0231403075</v>
      </c>
      <c r="J588" s="4" t="n">
        <v>0.0167569813464616</v>
      </c>
      <c r="K588">
        <f>IF(AND(I588&gt;0,J588&gt;=Assumptions!$B$4),1,0)</f>
        <v/>
      </c>
      <c r="L588" s="3">
        <f>I588*K588</f>
        <v/>
      </c>
      <c r="M588">
        <f>SUM($K$2:K588)</f>
        <v/>
      </c>
    </row>
    <row r="589">
      <c r="A589" t="inlineStr">
        <is>
          <t>030114</t>
        </is>
      </c>
      <c r="B589" t="inlineStr">
        <is>
          <t>Oro Valley Hospital</t>
        </is>
      </c>
      <c r="C589" t="inlineStr">
        <is>
          <t>AZ</t>
        </is>
      </c>
      <c r="D589" t="inlineStr">
        <is>
          <t>Metropolitan</t>
        </is>
      </c>
      <c r="E589" s="5" t="n">
        <v>1120</v>
      </c>
      <c r="F589" s="4" t="n">
        <v>0.5705357142857143</v>
      </c>
      <c r="G589" s="4" t="n">
        <v>0.5747763795694439</v>
      </c>
      <c r="H589" s="3" t="n">
        <v>16111089.50284905</v>
      </c>
      <c r="I589" s="3" t="n">
        <v>294006.8381096665</v>
      </c>
      <c r="J589" s="4" t="n">
        <v>0.0182487247716968</v>
      </c>
      <c r="K589">
        <f>IF(AND(I589&gt;0,J589&gt;=Assumptions!$B$4),1,0)</f>
        <v/>
      </c>
      <c r="L589" s="3">
        <f>I589*K589</f>
        <v/>
      </c>
      <c r="M589">
        <f>SUM($K$2:K589)</f>
        <v/>
      </c>
    </row>
    <row r="590">
      <c r="A590" t="inlineStr">
        <is>
          <t>140135</t>
        </is>
      </c>
      <c r="B590" t="inlineStr">
        <is>
          <t>Decatur Memorial Hospital</t>
        </is>
      </c>
      <c r="C590" t="inlineStr">
        <is>
          <t>IL</t>
        </is>
      </c>
      <c r="D590" t="inlineStr">
        <is>
          <t>Metropolitan</t>
        </is>
      </c>
      <c r="E590" s="5" t="n">
        <v>1588</v>
      </c>
      <c r="F590" s="4" t="n">
        <v>0.5919395465994962</v>
      </c>
      <c r="G590" s="4" t="n">
        <v>0.6168887587550201</v>
      </c>
      <c r="H590" s="3" t="n">
        <v>22715749.28899856</v>
      </c>
      <c r="I590" s="3" t="n">
        <v>293892.9075311422</v>
      </c>
      <c r="J590" s="4" t="n">
        <v>0.0129378478249659</v>
      </c>
      <c r="K590">
        <f>IF(AND(I590&gt;0,J590&gt;=Assumptions!$B$4),1,0)</f>
        <v/>
      </c>
      <c r="L590" s="3">
        <f>I590*K590</f>
        <v/>
      </c>
      <c r="M590">
        <f>SUM($K$2:K590)</f>
        <v/>
      </c>
    </row>
    <row r="591">
      <c r="A591" t="inlineStr">
        <is>
          <t>100254</t>
        </is>
      </c>
      <c r="B591" t="inlineStr">
        <is>
          <t>Hca Florida Capital Hospital</t>
        </is>
      </c>
      <c r="C591" t="inlineStr">
        <is>
          <t>FL</t>
        </is>
      </c>
      <c r="D591" t="inlineStr">
        <is>
          <t>Metropolitan</t>
        </is>
      </c>
      <c r="E591" s="5" t="n">
        <v>1383</v>
      </c>
      <c r="F591" s="4" t="n">
        <v>0.5712219812002892</v>
      </c>
      <c r="G591" s="4" t="n">
        <v>0.592531635238873</v>
      </c>
      <c r="H591" s="3" t="n">
        <v>20096954.3354882</v>
      </c>
      <c r="I591" s="3" t="n">
        <v>293127.964557834</v>
      </c>
      <c r="J591" s="4" t="n">
        <v>0.0145856909293073</v>
      </c>
      <c r="K591">
        <f>IF(AND(I591&gt;0,J591&gt;=Assumptions!$B$4),1,0)</f>
        <v/>
      </c>
      <c r="L591" s="3">
        <f>I591*K591</f>
        <v/>
      </c>
      <c r="M591">
        <f>SUM($K$2:K591)</f>
        <v/>
      </c>
    </row>
    <row r="592">
      <c r="A592" t="inlineStr">
        <is>
          <t>150104</t>
        </is>
      </c>
      <c r="B592" t="inlineStr">
        <is>
          <t>Witham Health Services</t>
        </is>
      </c>
      <c r="C592" t="inlineStr">
        <is>
          <t>IN</t>
        </is>
      </c>
      <c r="D592" t="inlineStr">
        <is>
          <t>Micropolitan</t>
        </is>
      </c>
      <c r="E592" s="5" t="n">
        <v>307</v>
      </c>
      <c r="F592" s="4" t="n">
        <v>0.4918566775244299</v>
      </c>
      <c r="G592" s="4" t="n">
        <v>0.6669227452398895</v>
      </c>
      <c r="H592" s="3" t="n">
        <v>3731950.974964426</v>
      </c>
      <c r="I592" s="3" t="n">
        <v>292456.0333783789</v>
      </c>
      <c r="J592" s="4" t="n">
        <v>0.078365454246399</v>
      </c>
      <c r="K592">
        <f>IF(AND(I592&gt;0,J592&gt;=Assumptions!$B$4),1,0)</f>
        <v/>
      </c>
      <c r="L592" s="3">
        <f>I592*K592</f>
        <v/>
      </c>
      <c r="M592">
        <f>SUM($K$2:K592)</f>
        <v/>
      </c>
    </row>
    <row r="593">
      <c r="A593" t="inlineStr">
        <is>
          <t>310044</t>
        </is>
      </c>
      <c r="B593" t="inlineStr">
        <is>
          <t>Capital Health Medical Center - Hopewell</t>
        </is>
      </c>
      <c r="C593" t="inlineStr">
        <is>
          <t>NJ</t>
        </is>
      </c>
      <c r="D593" t="inlineStr">
        <is>
          <t>Metropolitan</t>
        </is>
      </c>
      <c r="E593" s="5" t="n">
        <v>1174</v>
      </c>
      <c r="F593" s="4" t="n">
        <v>0.6022146507666098</v>
      </c>
      <c r="G593" s="4" t="n">
        <v>0.6083610749018298</v>
      </c>
      <c r="H593" s="3" t="n">
        <v>17028559.71645737</v>
      </c>
      <c r="I593" s="3" t="n">
        <v>292400.4913901575</v>
      </c>
      <c r="J593" s="4" t="n">
        <v>0.017171181606602</v>
      </c>
      <c r="K593">
        <f>IF(AND(I593&gt;0,J593&gt;=Assumptions!$B$4),1,0)</f>
        <v/>
      </c>
      <c r="L593" s="3">
        <f>I593*K593</f>
        <v/>
      </c>
      <c r="M593">
        <f>SUM($K$2:K593)</f>
        <v/>
      </c>
    </row>
    <row r="594">
      <c r="A594" t="inlineStr">
        <is>
          <t>270012</t>
        </is>
      </c>
      <c r="B594" t="inlineStr">
        <is>
          <t>Benefis Hospitals Inc</t>
        </is>
      </c>
      <c r="C594" t="inlineStr">
        <is>
          <t>MT</t>
        </is>
      </c>
      <c r="D594" t="inlineStr">
        <is>
          <t>Metropolitan</t>
        </is>
      </c>
      <c r="E594" s="5" t="n">
        <v>1431</v>
      </c>
      <c r="F594" s="4" t="n">
        <v>0.5317959468902865</v>
      </c>
      <c r="G594" s="4" t="n">
        <v>0.5645759412944623</v>
      </c>
      <c r="H594" s="3" t="n">
        <v>22308679.80881216</v>
      </c>
      <c r="I594" s="3" t="n">
        <v>291865.3783875033</v>
      </c>
      <c r="J594" s="4" t="n">
        <v>0.0130830412596721</v>
      </c>
      <c r="K594">
        <f>IF(AND(I594&gt;0,J594&gt;=Assumptions!$B$4),1,0)</f>
        <v/>
      </c>
      <c r="L594" s="3">
        <f>I594*K594</f>
        <v/>
      </c>
      <c r="M594">
        <f>SUM($K$2:K594)</f>
        <v/>
      </c>
    </row>
    <row r="595">
      <c r="A595" t="inlineStr">
        <is>
          <t>280003</t>
        </is>
      </c>
      <c r="B595" t="inlineStr">
        <is>
          <t>Bryan Medical Center</t>
        </is>
      </c>
      <c r="C595" t="inlineStr">
        <is>
          <t>NE</t>
        </is>
      </c>
      <c r="D595" t="inlineStr">
        <is>
          <t>Metropolitan</t>
        </is>
      </c>
      <c r="E595" s="5" t="n">
        <v>7400</v>
      </c>
      <c r="F595" s="4" t="n">
        <v>0.4901351351351351</v>
      </c>
      <c r="G595" s="4" t="n">
        <v>0.4983682601985541</v>
      </c>
      <c r="H595" s="3" t="n">
        <v>145674080.8531044</v>
      </c>
      <c r="I595" s="3" t="n">
        <v>291709.6458925307</v>
      </c>
      <c r="J595" s="4" t="n">
        <v>0.002002481458501</v>
      </c>
      <c r="K595">
        <f>IF(AND(I595&gt;0,J595&gt;=Assumptions!$B$4),1,0)</f>
        <v/>
      </c>
      <c r="L595" s="3">
        <f>I595*K595</f>
        <v/>
      </c>
      <c r="M595">
        <f>SUM($K$2:K595)</f>
        <v/>
      </c>
    </row>
    <row r="596">
      <c r="A596" t="inlineStr">
        <is>
          <t>390168</t>
        </is>
      </c>
      <c r="B596" t="inlineStr">
        <is>
          <t>Butler Memorial Hospital</t>
        </is>
      </c>
      <c r="C596" t="inlineStr">
        <is>
          <t>PA</t>
        </is>
      </c>
      <c r="D596" t="inlineStr">
        <is>
          <t>Micropolitan</t>
        </is>
      </c>
      <c r="E596" s="5" t="n">
        <v>640</v>
      </c>
      <c r="F596" s="4" t="n">
        <v>0.54375</v>
      </c>
      <c r="G596" s="4" t="n">
        <v>0.6192711399735543</v>
      </c>
      <c r="H596" s="3" t="n">
        <v>11726883.86550756</v>
      </c>
      <c r="I596" s="3" t="n">
        <v>290208.8053650763</v>
      </c>
      <c r="J596" s="4" t="n">
        <v>0.0247473078691152</v>
      </c>
      <c r="K596">
        <f>IF(AND(I596&gt;0,J596&gt;=Assumptions!$B$4),1,0)</f>
        <v/>
      </c>
      <c r="L596" s="3">
        <f>I596*K596</f>
        <v/>
      </c>
      <c r="M596">
        <f>SUM($K$2:K596)</f>
        <v/>
      </c>
    </row>
    <row r="597">
      <c r="A597" t="inlineStr">
        <is>
          <t>240066</t>
        </is>
      </c>
      <c r="B597" t="inlineStr">
        <is>
          <t>Lakeview Memorial Hospital</t>
        </is>
      </c>
      <c r="C597" t="inlineStr">
        <is>
          <t>MN</t>
        </is>
      </c>
      <c r="D597" t="inlineStr">
        <is>
          <t>Metropolitan</t>
        </is>
      </c>
      <c r="E597" s="5" t="n">
        <v>535</v>
      </c>
      <c r="F597" s="4" t="n">
        <v>0.4822429906542056</v>
      </c>
      <c r="G597" s="4" t="n">
        <v>0.5641345930959573</v>
      </c>
      <c r="H597" s="3" t="n">
        <v>8453108.511456</v>
      </c>
      <c r="I597" s="3" t="n">
        <v>289481.4527648157</v>
      </c>
      <c r="J597" s="4" t="n">
        <v>0.034245562135219</v>
      </c>
      <c r="K597">
        <f>IF(AND(I597&gt;0,J597&gt;=Assumptions!$B$4),1,0)</f>
        <v/>
      </c>
      <c r="L597" s="3">
        <f>I597*K597</f>
        <v/>
      </c>
      <c r="M597">
        <f>SUM($K$2:K597)</f>
        <v/>
      </c>
    </row>
    <row r="598">
      <c r="A598" t="inlineStr">
        <is>
          <t>520103</t>
        </is>
      </c>
      <c r="B598" t="inlineStr">
        <is>
          <t>Froedtert Menomonee Falls Hospital</t>
        </is>
      </c>
      <c r="C598" t="inlineStr">
        <is>
          <t>WI</t>
        </is>
      </c>
      <c r="D598" t="inlineStr">
        <is>
          <t>Metropolitan</t>
        </is>
      </c>
      <c r="E598" s="5" t="n">
        <v>1224</v>
      </c>
      <c r="F598" s="4" t="n">
        <v>0.5514705882352942</v>
      </c>
      <c r="G598" s="4" t="n">
        <v>0.5853594308292492</v>
      </c>
      <c r="H598" s="3" t="n">
        <v>18750083.29912448</v>
      </c>
      <c r="I598" s="3" t="n">
        <v>288585.3264792636</v>
      </c>
      <c r="J598" s="4" t="n">
        <v>0.0153911490352012</v>
      </c>
      <c r="K598">
        <f>IF(AND(I598&gt;0,J598&gt;=Assumptions!$B$4),1,0)</f>
        <v/>
      </c>
      <c r="L598" s="3">
        <f>I598*K598</f>
        <v/>
      </c>
      <c r="M598">
        <f>SUM($K$2:K598)</f>
        <v/>
      </c>
    </row>
    <row r="599">
      <c r="A599" t="inlineStr">
        <is>
          <t>330030</t>
        </is>
      </c>
      <c r="B599" t="inlineStr">
        <is>
          <t>Newark-Wayne Community Hospital</t>
        </is>
      </c>
      <c r="C599" t="inlineStr">
        <is>
          <t>NY</t>
        </is>
      </c>
      <c r="D599" t="inlineStr">
        <is>
          <t>Micropolitan</t>
        </is>
      </c>
      <c r="E599" s="5" t="n">
        <v>384</v>
      </c>
      <c r="F599" s="4" t="n">
        <v>0.5338541666666666</v>
      </c>
      <c r="G599" s="4" t="n">
        <v>0.6831685055225032</v>
      </c>
      <c r="H599" s="3" t="n">
        <v>4769445.404338866</v>
      </c>
      <c r="I599" s="3" t="n">
        <v>287184.8346622651</v>
      </c>
      <c r="J599" s="4" t="n">
        <v>0.0602134651548808</v>
      </c>
      <c r="K599">
        <f>IF(AND(I599&gt;0,J599&gt;=Assumptions!$B$4),1,0)</f>
        <v/>
      </c>
      <c r="L599" s="3">
        <f>I599*K599</f>
        <v/>
      </c>
      <c r="M599">
        <f>SUM($K$2:K599)</f>
        <v/>
      </c>
    </row>
    <row r="600">
      <c r="A600" t="inlineStr">
        <is>
          <t>390013</t>
        </is>
      </c>
      <c r="B600" t="inlineStr">
        <is>
          <t>Evangelical Community Hospital</t>
        </is>
      </c>
      <c r="C600" t="inlineStr">
        <is>
          <t>PA</t>
        </is>
      </c>
      <c r="D600" t="inlineStr">
        <is>
          <t>Micropolitan</t>
        </is>
      </c>
      <c r="E600" s="5" t="n">
        <v>842</v>
      </c>
      <c r="F600" s="4" t="n">
        <v>0.5498812351543944</v>
      </c>
      <c r="G600" s="4" t="n">
        <v>0.5955134329478791</v>
      </c>
      <c r="H600" s="3" t="n">
        <v>11174523.16480529</v>
      </c>
      <c r="I600" s="3" t="n">
        <v>286427.635429455</v>
      </c>
      <c r="J600" s="4" t="n">
        <v>0.0256322020371815</v>
      </c>
      <c r="K600">
        <f>IF(AND(I600&gt;0,J600&gt;=Assumptions!$B$4),1,0)</f>
        <v/>
      </c>
      <c r="L600" s="3">
        <f>I600*K600</f>
        <v/>
      </c>
      <c r="M600">
        <f>SUM($K$2:K600)</f>
        <v/>
      </c>
    </row>
    <row r="601">
      <c r="A601" t="inlineStr">
        <is>
          <t>180132</t>
        </is>
      </c>
      <c r="B601" t="inlineStr">
        <is>
          <t>Lake Cumberland Regional Hospital</t>
        </is>
      </c>
      <c r="C601" t="inlineStr">
        <is>
          <t>KY</t>
        </is>
      </c>
      <c r="D601" t="inlineStr">
        <is>
          <t>Micropolitan</t>
        </is>
      </c>
      <c r="E601" s="5" t="n">
        <v>1044</v>
      </c>
      <c r="F601" s="4" t="n">
        <v>0.5603448275862069</v>
      </c>
      <c r="G601" s="4" t="n">
        <v>0.5914819724525812</v>
      </c>
      <c r="H601" s="3" t="n">
        <v>13803946.55818645</v>
      </c>
      <c r="I601" s="3" t="n">
        <v>285067.7111801039</v>
      </c>
      <c r="J601" s="4" t="n">
        <v>0.0206511746462133</v>
      </c>
      <c r="K601">
        <f>IF(AND(I601&gt;0,J601&gt;=Assumptions!$B$4),1,0)</f>
        <v/>
      </c>
      <c r="L601" s="3">
        <f>I601*K601</f>
        <v/>
      </c>
      <c r="M601">
        <f>SUM($K$2:K601)</f>
        <v/>
      </c>
    </row>
    <row r="602">
      <c r="A602" t="inlineStr">
        <is>
          <t>150115</t>
        </is>
      </c>
      <c r="B602" t="inlineStr">
        <is>
          <t>Memorial Hospital And Health Care Center</t>
        </is>
      </c>
      <c r="C602" t="inlineStr">
        <is>
          <t>IN</t>
        </is>
      </c>
      <c r="D602" t="inlineStr">
        <is>
          <t>Micropolitan</t>
        </is>
      </c>
      <c r="E602" s="5" t="n">
        <v>703</v>
      </c>
      <c r="F602" s="4" t="n">
        <v>0.5945945945945946</v>
      </c>
      <c r="G602" s="4" t="n">
        <v>0.6598951782495289</v>
      </c>
      <c r="H602" s="3" t="n">
        <v>8971600.59976094</v>
      </c>
      <c r="I602" s="3" t="n">
        <v>282522.56764297</v>
      </c>
      <c r="J602" s="4" t="n">
        <v>0.0314907651651922</v>
      </c>
      <c r="K602">
        <f>IF(AND(I602&gt;0,J602&gt;=Assumptions!$B$4),1,0)</f>
        <v/>
      </c>
      <c r="L602" s="3">
        <f>I602*K602</f>
        <v/>
      </c>
      <c r="M602">
        <f>SUM($K$2:K602)</f>
        <v/>
      </c>
    </row>
    <row r="603">
      <c r="A603" t="inlineStr">
        <is>
          <t>520075</t>
        </is>
      </c>
      <c r="B603" t="inlineStr">
        <is>
          <t>St Vincent Hospital</t>
        </is>
      </c>
      <c r="C603" t="inlineStr">
        <is>
          <t>WI</t>
        </is>
      </c>
      <c r="D603" t="inlineStr">
        <is>
          <t>Metropolitan</t>
        </is>
      </c>
      <c r="E603" s="5" t="n">
        <v>608</v>
      </c>
      <c r="F603" s="4" t="n">
        <v>0.5608552631578947</v>
      </c>
      <c r="G603" s="4" t="n">
        <v>0.5863223713552834</v>
      </c>
      <c r="H603" s="3" t="n">
        <v>12211035.15396968</v>
      </c>
      <c r="I603" s="3" t="n">
        <v>281878.8687739316</v>
      </c>
      <c r="J603" s="4" t="n">
        <v>0.0230839454001813</v>
      </c>
      <c r="K603">
        <f>IF(AND(I603&gt;0,J603&gt;=Assumptions!$B$4),1,0)</f>
        <v/>
      </c>
      <c r="L603" s="3">
        <f>I603*K603</f>
        <v/>
      </c>
      <c r="M603">
        <f>SUM($K$2:K603)</f>
        <v/>
      </c>
    </row>
    <row r="604">
      <c r="A604" t="inlineStr">
        <is>
          <t>340023</t>
        </is>
      </c>
      <c r="B604" t="inlineStr">
        <is>
          <t>Adventhealth Hendersonville</t>
        </is>
      </c>
      <c r="C604" t="inlineStr">
        <is>
          <t>NC</t>
        </is>
      </c>
      <c r="D604" t="inlineStr">
        <is>
          <t>Metropolitan</t>
        </is>
      </c>
      <c r="E604" s="5" t="n">
        <v>550</v>
      </c>
      <c r="F604" s="4" t="n">
        <v>0.64</v>
      </c>
      <c r="G604" s="4" t="n">
        <v>0.6732268847565525</v>
      </c>
      <c r="H604" s="3" t="n">
        <v>7903821.768600217</v>
      </c>
      <c r="I604" s="3" t="n">
        <v>280455.0467012478</v>
      </c>
      <c r="J604" s="4" t="n">
        <v>0.0354834730478641</v>
      </c>
      <c r="K604">
        <f>IF(AND(I604&gt;0,J604&gt;=Assumptions!$B$4),1,0)</f>
        <v/>
      </c>
      <c r="L604" s="3">
        <f>I604*K604</f>
        <v/>
      </c>
      <c r="M604">
        <f>SUM($K$2:K604)</f>
        <v/>
      </c>
    </row>
    <row r="605">
      <c r="A605" t="inlineStr">
        <is>
          <t>330246</t>
        </is>
      </c>
      <c r="B605" t="inlineStr">
        <is>
          <t>St Charles Hospital</t>
        </is>
      </c>
      <c r="C605" t="inlineStr">
        <is>
          <t>NY</t>
        </is>
      </c>
      <c r="D605" t="inlineStr">
        <is>
          <t>Metropolitan</t>
        </is>
      </c>
      <c r="E605" s="5" t="n">
        <v>935</v>
      </c>
      <c r="F605" s="4" t="n">
        <v>0.5336898395721925</v>
      </c>
      <c r="G605" s="4" t="n">
        <v>0.5947192746505688</v>
      </c>
      <c r="H605" s="3" t="n">
        <v>11630373.94762023</v>
      </c>
      <c r="I605" s="3" t="n">
        <v>279340.867401287</v>
      </c>
      <c r="J605" s="4" t="n">
        <v>0.0240182189033091</v>
      </c>
      <c r="K605">
        <f>IF(AND(I605&gt;0,J605&gt;=Assumptions!$B$4),1,0)</f>
        <v/>
      </c>
      <c r="L605" s="3">
        <f>I605*K605</f>
        <v/>
      </c>
      <c r="M605">
        <f>SUM($K$2:K605)</f>
        <v/>
      </c>
    </row>
    <row r="606">
      <c r="A606" t="inlineStr">
        <is>
          <t>290032</t>
        </is>
      </c>
      <c r="B606" t="inlineStr">
        <is>
          <t>Northern Nevada Medical Center</t>
        </is>
      </c>
      <c r="C606" t="inlineStr">
        <is>
          <t>NV</t>
        </is>
      </c>
      <c r="D606" t="inlineStr">
        <is>
          <t>Metropolitan</t>
        </is>
      </c>
      <c r="E606" s="5" t="n">
        <v>581</v>
      </c>
      <c r="F606" s="4" t="n">
        <v>0.6867469879518072</v>
      </c>
      <c r="G606" s="4" t="n">
        <v>0.6517564859666021</v>
      </c>
      <c r="H606" s="3" t="n">
        <v>9592870.83340551</v>
      </c>
      <c r="I606" s="3" t="n">
        <v>278705.6800763644</v>
      </c>
      <c r="J606" s="4" t="n">
        <v>0.0290534173675955</v>
      </c>
      <c r="K606">
        <f>IF(AND(I606&gt;0,J606&gt;=Assumptions!$B$4),1,0)</f>
        <v/>
      </c>
      <c r="L606" s="3">
        <f>I606*K606</f>
        <v/>
      </c>
      <c r="M606">
        <f>SUM($K$2:K606)</f>
        <v/>
      </c>
    </row>
    <row r="607">
      <c r="A607" t="inlineStr">
        <is>
          <t>230021</t>
        </is>
      </c>
      <c r="B607" t="inlineStr">
        <is>
          <t>Corewell Health Lakeland Hospitals St Joseph Hospi</t>
        </is>
      </c>
      <c r="C607" t="inlineStr">
        <is>
          <t>MI</t>
        </is>
      </c>
      <c r="D607" t="inlineStr">
        <is>
          <t>Metropolitan</t>
        </is>
      </c>
      <c r="E607" s="5" t="n">
        <v>1574</v>
      </c>
      <c r="F607" s="4" t="n">
        <v>0.613722998729352</v>
      </c>
      <c r="G607" s="4" t="n">
        <v>0.6388885815249106</v>
      </c>
      <c r="H607" s="3" t="n">
        <v>24728880.84950898</v>
      </c>
      <c r="I607" s="3" t="n">
        <v>278375.4431963712</v>
      </c>
      <c r="J607" s="4" t="n">
        <v>0.0112570983252523</v>
      </c>
      <c r="K607">
        <f>IF(AND(I607&gt;0,J607&gt;=Assumptions!$B$4),1,0)</f>
        <v/>
      </c>
      <c r="L607" s="3">
        <f>I607*K607</f>
        <v/>
      </c>
      <c r="M607">
        <f>SUM($K$2:K607)</f>
        <v/>
      </c>
    </row>
    <row r="608">
      <c r="A608" t="inlineStr">
        <is>
          <t>330250</t>
        </is>
      </c>
      <c r="B608" t="inlineStr">
        <is>
          <t>The University Of Vermont Health Network  - Champl</t>
        </is>
      </c>
      <c r="C608" t="inlineStr">
        <is>
          <t>NY</t>
        </is>
      </c>
      <c r="D608" t="inlineStr">
        <is>
          <t>Micropolitan</t>
        </is>
      </c>
      <c r="E608" s="5" t="n">
        <v>1551</v>
      </c>
      <c r="F608" s="4" t="n">
        <v>0.5815602836879432</v>
      </c>
      <c r="G608" s="4" t="n">
        <v>0.604989388481223</v>
      </c>
      <c r="H608" s="3" t="n">
        <v>20527468.85171342</v>
      </c>
      <c r="I608" s="3" t="n">
        <v>277616.9905487038</v>
      </c>
      <c r="J608" s="4" t="n">
        <v>0.0135241705908388</v>
      </c>
      <c r="K608">
        <f>IF(AND(I608&gt;0,J608&gt;=Assumptions!$B$4),1,0)</f>
        <v/>
      </c>
      <c r="L608" s="3">
        <f>I608*K608</f>
        <v/>
      </c>
      <c r="M608">
        <f>SUM($K$2:K608)</f>
        <v/>
      </c>
    </row>
    <row r="609">
      <c r="A609" t="inlineStr">
        <is>
          <t>210006</t>
        </is>
      </c>
      <c r="B609" t="inlineStr">
        <is>
          <t>University Of Md Harford Memorial Hospital</t>
        </is>
      </c>
      <c r="C609" t="inlineStr">
        <is>
          <t>MD</t>
        </is>
      </c>
      <c r="D609" t="inlineStr">
        <is>
          <t>Metropolitan</t>
        </is>
      </c>
      <c r="E609" s="5" t="n">
        <v>1001</v>
      </c>
      <c r="F609" s="4" t="n">
        <v>0.6203796203796204</v>
      </c>
      <c r="G609" s="4" t="n">
        <v>0.679634174240358</v>
      </c>
      <c r="H609" s="3" t="n">
        <v>12547479.92415588</v>
      </c>
      <c r="I609" s="3" t="n">
        <v>275050.3228197955</v>
      </c>
      <c r="J609" s="4" t="n">
        <v>0.0219207621356922</v>
      </c>
      <c r="K609">
        <f>IF(AND(I609&gt;0,J609&gt;=Assumptions!$B$4),1,0)</f>
        <v/>
      </c>
      <c r="L609" s="3">
        <f>I609*K609</f>
        <v/>
      </c>
      <c r="M609">
        <f>SUM($K$2:K609)</f>
        <v/>
      </c>
    </row>
    <row r="610">
      <c r="A610" t="inlineStr">
        <is>
          <t>390030</t>
        </is>
      </c>
      <c r="B610" t="inlineStr">
        <is>
          <t>Lehigh Valley Hospital-Schuylkill</t>
        </is>
      </c>
      <c r="C610" t="inlineStr">
        <is>
          <t>PA</t>
        </is>
      </c>
      <c r="D610" t="inlineStr">
        <is>
          <t>Micropolitan</t>
        </is>
      </c>
      <c r="E610" s="5" t="n">
        <v>697</v>
      </c>
      <c r="F610" s="4" t="n">
        <v>0.5968436154949784</v>
      </c>
      <c r="G610" s="4" t="n">
        <v>0.6702340549536386</v>
      </c>
      <c r="H610" s="3" t="n">
        <v>8874002.890050439</v>
      </c>
      <c r="I610" s="3" t="n">
        <v>272874.7435058523</v>
      </c>
      <c r="J610" s="4" t="n">
        <v>0.0307499047371057</v>
      </c>
      <c r="K610">
        <f>IF(AND(I610&gt;0,J610&gt;=Assumptions!$B$4),1,0)</f>
        <v/>
      </c>
      <c r="L610" s="3">
        <f>I610*K610</f>
        <v/>
      </c>
      <c r="M610">
        <f>SUM($K$2:K610)</f>
        <v/>
      </c>
    </row>
    <row r="611">
      <c r="A611" t="inlineStr">
        <is>
          <t>340143</t>
        </is>
      </c>
      <c r="B611" t="inlineStr">
        <is>
          <t>Catawba Valley Medical Center</t>
        </is>
      </c>
      <c r="C611" t="inlineStr">
        <is>
          <t>NC</t>
        </is>
      </c>
      <c r="D611" t="inlineStr">
        <is>
          <t>Metropolitan</t>
        </is>
      </c>
      <c r="E611" s="5" t="n">
        <v>868</v>
      </c>
      <c r="F611" s="4" t="n">
        <v>0.7004608294930875</v>
      </c>
      <c r="G611" s="4" t="n">
        <v>0.6640274019586351</v>
      </c>
      <c r="H611" s="3" t="n">
        <v>13730215.67905469</v>
      </c>
      <c r="I611" s="3" t="n">
        <v>267684.8176710475</v>
      </c>
      <c r="J611" s="4" t="n">
        <v>0.0194960388043574</v>
      </c>
      <c r="K611">
        <f>IF(AND(I611&gt;0,J611&gt;=Assumptions!$B$4),1,0)</f>
        <v/>
      </c>
      <c r="L611" s="3">
        <f>I611*K611</f>
        <v/>
      </c>
      <c r="M611">
        <f>SUM($K$2:K611)</f>
        <v/>
      </c>
    </row>
    <row r="612">
      <c r="A612" t="inlineStr">
        <is>
          <t>120005</t>
        </is>
      </c>
      <c r="B612" t="inlineStr">
        <is>
          <t>Hilo Medical Center</t>
        </is>
      </c>
      <c r="C612" t="inlineStr">
        <is>
          <t>HI</t>
        </is>
      </c>
      <c r="D612" t="inlineStr">
        <is>
          <t>Micropolitan</t>
        </is>
      </c>
      <c r="E612" s="5" t="n">
        <v>855</v>
      </c>
      <c r="F612" s="4" t="n">
        <v>0.6432748538011696</v>
      </c>
      <c r="G612" s="4" t="n">
        <v>0.6665009857742769</v>
      </c>
      <c r="H612" s="3" t="n">
        <v>12064921.46440963</v>
      </c>
      <c r="I612" s="3" t="n">
        <v>266099.4664266221</v>
      </c>
      <c r="J612" s="4" t="n">
        <v>0.022055631875565</v>
      </c>
      <c r="K612">
        <f>IF(AND(I612&gt;0,J612&gt;=Assumptions!$B$4),1,0)</f>
        <v/>
      </c>
      <c r="L612" s="3">
        <f>I612*K612</f>
        <v/>
      </c>
      <c r="M612">
        <f>SUM($K$2:K612)</f>
        <v/>
      </c>
    </row>
    <row r="613">
      <c r="A613" t="inlineStr">
        <is>
          <t>140166</t>
        </is>
      </c>
      <c r="B613" t="inlineStr">
        <is>
          <t>St Marys Hospital</t>
        </is>
      </c>
      <c r="C613" t="inlineStr">
        <is>
          <t>IL</t>
        </is>
      </c>
      <c r="D613" t="inlineStr">
        <is>
          <t>Metropolitan</t>
        </is>
      </c>
      <c r="E613" s="5" t="n">
        <v>611</v>
      </c>
      <c r="F613" s="4" t="n">
        <v>0.6350245499181669</v>
      </c>
      <c r="G613" s="4" t="n">
        <v>0.6643594306043746</v>
      </c>
      <c r="H613" s="3" t="n">
        <v>8389479.621311666</v>
      </c>
      <c r="I613" s="3" t="n">
        <v>261765.668155563</v>
      </c>
      <c r="J613" s="4" t="n">
        <v>0.0312016573102584</v>
      </c>
      <c r="K613">
        <f>IF(AND(I613&gt;0,J613&gt;=Assumptions!$B$4),1,0)</f>
        <v/>
      </c>
      <c r="L613" s="3">
        <f>I613*K613</f>
        <v/>
      </c>
      <c r="M613">
        <f>SUM($K$2:K613)</f>
        <v/>
      </c>
    </row>
    <row r="614">
      <c r="A614" t="inlineStr">
        <is>
          <t>110200</t>
        </is>
      </c>
      <c r="B614" t="inlineStr">
        <is>
          <t>Piedmont Columbus Regional Northside</t>
        </is>
      </c>
      <c r="C614" t="inlineStr">
        <is>
          <t>GA</t>
        </is>
      </c>
      <c r="D614" t="inlineStr">
        <is>
          <t>Metropolitan</t>
        </is>
      </c>
      <c r="E614" s="5" t="n">
        <v>995</v>
      </c>
      <c r="F614" s="4" t="n">
        <v>0.6160804020100502</v>
      </c>
      <c r="G614" s="4" t="n">
        <v>0.6072012794973716</v>
      </c>
      <c r="H614" s="3" t="n">
        <v>16263901.27570086</v>
      </c>
      <c r="I614" s="3" t="n">
        <v>260724.6222777572</v>
      </c>
      <c r="J614" s="4" t="n">
        <v>0.0160308783149891</v>
      </c>
      <c r="K614">
        <f>IF(AND(I614&gt;0,J614&gt;=Assumptions!$B$4),1,0)</f>
        <v/>
      </c>
      <c r="L614" s="3">
        <f>I614*K614</f>
        <v/>
      </c>
      <c r="M614">
        <f>SUM($K$2:K614)</f>
        <v/>
      </c>
    </row>
    <row r="615">
      <c r="A615" t="inlineStr">
        <is>
          <t>100296</t>
        </is>
      </c>
      <c r="B615" t="inlineStr">
        <is>
          <t>Doctors Hospital</t>
        </is>
      </c>
      <c r="C615" t="inlineStr">
        <is>
          <t>FL</t>
        </is>
      </c>
      <c r="D615" t="inlineStr">
        <is>
          <t>Metropolitan</t>
        </is>
      </c>
      <c r="E615" s="5" t="n">
        <v>603</v>
      </c>
      <c r="F615" s="4" t="n">
        <v>0.5505804311774462</v>
      </c>
      <c r="G615" s="4" t="n">
        <v>0.6136078548563234</v>
      </c>
      <c r="H615" s="3" t="n">
        <v>9194059.543639289</v>
      </c>
      <c r="I615" s="3" t="n">
        <v>260396.8713808432</v>
      </c>
      <c r="J615" s="4" t="n">
        <v>0.0283222955153681</v>
      </c>
      <c r="K615">
        <f>IF(AND(I615&gt;0,J615&gt;=Assumptions!$B$4),1,0)</f>
        <v/>
      </c>
      <c r="L615" s="3">
        <f>I615*K615</f>
        <v/>
      </c>
      <c r="M615">
        <f>SUM($K$2:K615)</f>
        <v/>
      </c>
    </row>
    <row r="616">
      <c r="A616" t="inlineStr">
        <is>
          <t>100140</t>
        </is>
      </c>
      <c r="B616" t="inlineStr">
        <is>
          <t>Baptist Medical Center - Nassau</t>
        </is>
      </c>
      <c r="C616" t="inlineStr">
        <is>
          <t>FL</t>
        </is>
      </c>
      <c r="D616" t="inlineStr">
        <is>
          <t>Micropolitan</t>
        </is>
      </c>
      <c r="E616" s="5" t="n">
        <v>669</v>
      </c>
      <c r="F616" s="4" t="n">
        <v>0.5829596412556054</v>
      </c>
      <c r="G616" s="4" t="n">
        <v>0.6315513049096193</v>
      </c>
      <c r="H616" s="3" t="n">
        <v>8513451.430893568</v>
      </c>
      <c r="I616" s="3" t="n">
        <v>259442.6711245179</v>
      </c>
      <c r="J616" s="4" t="n">
        <v>0.0304744407401037</v>
      </c>
      <c r="K616">
        <f>IF(AND(I616&gt;0,J616&gt;=Assumptions!$B$4),1,0)</f>
        <v/>
      </c>
      <c r="L616" s="3">
        <f>I616*K616</f>
        <v/>
      </c>
      <c r="M616">
        <f>SUM($K$2:K616)</f>
        <v/>
      </c>
    </row>
    <row r="617">
      <c r="A617" t="inlineStr">
        <is>
          <t>390045</t>
        </is>
      </c>
      <c r="B617" t="inlineStr">
        <is>
          <t>Upmc Williamsport</t>
        </is>
      </c>
      <c r="C617" t="inlineStr">
        <is>
          <t>PA</t>
        </is>
      </c>
      <c r="D617" t="inlineStr">
        <is>
          <t>Metropolitan</t>
        </is>
      </c>
      <c r="E617" s="5" t="n">
        <v>1742</v>
      </c>
      <c r="F617" s="4" t="n">
        <v>0.5597014925373134</v>
      </c>
      <c r="G617" s="4" t="n">
        <v>0.577637498726134</v>
      </c>
      <c r="H617" s="3" t="n">
        <v>28621698.12396061</v>
      </c>
      <c r="I617" s="3" t="n">
        <v>255448.1139343083</v>
      </c>
      <c r="J617" s="4" t="n">
        <v>0.008924981069535501</v>
      </c>
      <c r="K617">
        <f>IF(AND(I617&gt;0,J617&gt;=Assumptions!$B$4),1,0)</f>
        <v/>
      </c>
      <c r="L617" s="3">
        <f>I617*K617</f>
        <v/>
      </c>
      <c r="M617">
        <f>SUM($K$2:K617)</f>
        <v/>
      </c>
    </row>
    <row r="618">
      <c r="A618" t="inlineStr">
        <is>
          <t>100022</t>
        </is>
      </c>
      <c r="B618" t="inlineStr">
        <is>
          <t>Jackson Memorial Hospital</t>
        </is>
      </c>
      <c r="C618" t="inlineStr">
        <is>
          <t>FL</t>
        </is>
      </c>
      <c r="D618" t="inlineStr">
        <is>
          <t>Metropolitan</t>
        </is>
      </c>
      <c r="E618" s="5" t="n">
        <v>3610</v>
      </c>
      <c r="F618" s="4" t="n">
        <v>0.5958448753462604</v>
      </c>
      <c r="G618" s="4" t="n">
        <v>0.6059308562172312</v>
      </c>
      <c r="H618" s="3" t="n">
        <v>55884423.18567846</v>
      </c>
      <c r="I618" s="3" t="n">
        <v>252625.7851103395</v>
      </c>
      <c r="J618" s="4" t="n">
        <v>0.0045205044752985</v>
      </c>
      <c r="K618">
        <f>IF(AND(I618&gt;0,J618&gt;=Assumptions!$B$4),1,0)</f>
        <v/>
      </c>
      <c r="L618" s="3">
        <f>I618*K618</f>
        <v/>
      </c>
      <c r="M618">
        <f>SUM($K$2:K618)</f>
        <v/>
      </c>
    </row>
    <row r="619">
      <c r="A619" t="inlineStr">
        <is>
          <t>280065</t>
        </is>
      </c>
      <c r="B619" t="inlineStr">
        <is>
          <t>Great Plains Health</t>
        </is>
      </c>
      <c r="C619" t="inlineStr">
        <is>
          <t>NE</t>
        </is>
      </c>
      <c r="D619" t="inlineStr">
        <is>
          <t>Micropolitan</t>
        </is>
      </c>
      <c r="E619" s="5" t="n">
        <v>1175</v>
      </c>
      <c r="F619" s="4" t="n">
        <v>0.5251063829787234</v>
      </c>
      <c r="G619" s="4" t="n">
        <v>0.5848270572811488</v>
      </c>
      <c r="H619" s="3" t="n">
        <v>15097752.57036546</v>
      </c>
      <c r="I619" s="3" t="n">
        <v>252484.3665690236</v>
      </c>
      <c r="J619" s="4" t="n">
        <v>0.016723308015036</v>
      </c>
      <c r="K619">
        <f>IF(AND(I619&gt;0,J619&gt;=Assumptions!$B$4),1,0)</f>
        <v/>
      </c>
      <c r="L619" s="3">
        <f>I619*K619</f>
        <v/>
      </c>
      <c r="M619">
        <f>SUM($K$2:K619)</f>
        <v/>
      </c>
    </row>
    <row r="620">
      <c r="A620" t="inlineStr">
        <is>
          <t>410013</t>
        </is>
      </c>
      <c r="B620" t="inlineStr">
        <is>
          <t>Westerly Hospital</t>
        </is>
      </c>
      <c r="C620" t="inlineStr">
        <is>
          <t>RI</t>
        </is>
      </c>
      <c r="D620" t="inlineStr">
        <is>
          <t>Metropolitan</t>
        </is>
      </c>
      <c r="E620" s="5" t="n">
        <v>545</v>
      </c>
      <c r="F620" s="4" t="n">
        <v>0.6165137614678899</v>
      </c>
      <c r="G620" s="4" t="n">
        <v>0.6769356911170484</v>
      </c>
      <c r="H620" s="3" t="n">
        <v>6844276.281652093</v>
      </c>
      <c r="I620" s="3" t="n">
        <v>251547.7505185977</v>
      </c>
      <c r="J620" s="4" t="n">
        <v>0.0367530094004151</v>
      </c>
      <c r="K620">
        <f>IF(AND(I620&gt;0,J620&gt;=Assumptions!$B$4),1,0)</f>
        <v/>
      </c>
      <c r="L620" s="3">
        <f>I620*K620</f>
        <v/>
      </c>
      <c r="M620">
        <f>SUM($K$2:K620)</f>
        <v/>
      </c>
    </row>
    <row r="621">
      <c r="A621" t="inlineStr">
        <is>
          <t>490009</t>
        </is>
      </c>
      <c r="B621" t="inlineStr">
        <is>
          <t>Uva Health Sciences Center</t>
        </is>
      </c>
      <c r="C621" t="inlineStr">
        <is>
          <t>VA</t>
        </is>
      </c>
      <c r="D621" t="inlineStr">
        <is>
          <t>Metropolitan</t>
        </is>
      </c>
      <c r="E621" s="5" t="n">
        <v>5176</v>
      </c>
      <c r="F621" s="4" t="n">
        <v>0.5048299845440495</v>
      </c>
      <c r="G621" s="4" t="n">
        <v>0.5069481782007704</v>
      </c>
      <c r="H621" s="3" t="n">
        <v>113738527.3015632</v>
      </c>
      <c r="I621" s="3" t="n">
        <v>251174.4226918072</v>
      </c>
      <c r="J621" s="4" t="n">
        <v>0.0022083495245709</v>
      </c>
      <c r="K621">
        <f>IF(AND(I621&gt;0,J621&gt;=Assumptions!$B$4),1,0)</f>
        <v/>
      </c>
      <c r="L621" s="3">
        <f>I621*K621</f>
        <v/>
      </c>
      <c r="M621">
        <f>SUM($K$2:K621)</f>
        <v/>
      </c>
    </row>
    <row r="622">
      <c r="A622" t="inlineStr">
        <is>
          <t>360095</t>
        </is>
      </c>
      <c r="B622" t="inlineStr">
        <is>
          <t>Blanchard Valley Hospital</t>
        </is>
      </c>
      <c r="C622" t="inlineStr">
        <is>
          <t>OH</t>
        </is>
      </c>
      <c r="D622" t="inlineStr">
        <is>
          <t>Micropolitan</t>
        </is>
      </c>
      <c r="E622" s="5" t="n">
        <v>1056</v>
      </c>
      <c r="F622" s="4" t="n">
        <v>0.4867424242424242</v>
      </c>
      <c r="G622" s="4" t="n">
        <v>0.5699837899937608</v>
      </c>
      <c r="H622" s="3" t="n">
        <v>14878562.71393524</v>
      </c>
      <c r="I622" s="3" t="n">
        <v>249651.912372442</v>
      </c>
      <c r="J622" s="4" t="n">
        <v>0.0167793030262673</v>
      </c>
      <c r="K622">
        <f>IF(AND(I622&gt;0,J622&gt;=Assumptions!$B$4),1,0)</f>
        <v/>
      </c>
      <c r="L622" s="3">
        <f>I622*K622</f>
        <v/>
      </c>
      <c r="M622">
        <f>SUM($K$2:K622)</f>
        <v/>
      </c>
    </row>
    <row r="623">
      <c r="A623" t="inlineStr">
        <is>
          <t>020001</t>
        </is>
      </c>
      <c r="B623" t="inlineStr">
        <is>
          <t>Providence Alaska Medical Center</t>
        </is>
      </c>
      <c r="C623" t="inlineStr">
        <is>
          <t>AK</t>
        </is>
      </c>
      <c r="D623" t="inlineStr">
        <is>
          <t>Metropolitan</t>
        </is>
      </c>
      <c r="E623" s="5" t="n">
        <v>3199</v>
      </c>
      <c r="F623" s="4" t="n">
        <v>0.5698655829946858</v>
      </c>
      <c r="G623" s="4" t="n">
        <v>0.5596178416801478</v>
      </c>
      <c r="H623" s="3" t="n">
        <v>69300974.88572389</v>
      </c>
      <c r="I623" s="3" t="n">
        <v>248175.4931814075</v>
      </c>
      <c r="J623" s="4" t="n">
        <v>0.0035811255698876</v>
      </c>
      <c r="K623">
        <f>IF(AND(I623&gt;0,J623&gt;=Assumptions!$B$4),1,0)</f>
        <v/>
      </c>
      <c r="L623" s="3">
        <f>I623*K623</f>
        <v/>
      </c>
      <c r="M623">
        <f>SUM($K$2:K623)</f>
        <v/>
      </c>
    </row>
    <row r="624">
      <c r="A624" t="inlineStr">
        <is>
          <t>450788</t>
        </is>
      </c>
      <c r="B624" t="inlineStr">
        <is>
          <t>Corpus Christi Medical Center,the</t>
        </is>
      </c>
      <c r="C624" t="inlineStr">
        <is>
          <t>TX</t>
        </is>
      </c>
      <c r="D624" t="inlineStr">
        <is>
          <t>Metropolitan</t>
        </is>
      </c>
      <c r="E624" s="5" t="n">
        <v>1878</v>
      </c>
      <c r="F624" s="4" t="n">
        <v>0.6033013844515442</v>
      </c>
      <c r="G624" s="4" t="n">
        <v>0.5998741280344125</v>
      </c>
      <c r="H624" s="3" t="n">
        <v>31172099.18213788</v>
      </c>
      <c r="I624" s="3" t="n">
        <v>247108.8460463174</v>
      </c>
      <c r="J624" s="4" t="n">
        <v>0.0079272443155806</v>
      </c>
      <c r="K624">
        <f>IF(AND(I624&gt;0,J624&gt;=Assumptions!$B$4),1,0)</f>
        <v/>
      </c>
      <c r="L624" s="3">
        <f>I624*K624</f>
        <v/>
      </c>
      <c r="M624">
        <f>SUM($K$2:K624)</f>
        <v/>
      </c>
    </row>
    <row r="625">
      <c r="A625" t="inlineStr">
        <is>
          <t>230072</t>
        </is>
      </c>
      <c r="B625" t="inlineStr">
        <is>
          <t>Holland Community Hospital</t>
        </is>
      </c>
      <c r="C625" t="inlineStr">
        <is>
          <t>MI</t>
        </is>
      </c>
      <c r="D625" t="inlineStr">
        <is>
          <t>Metropolitan</t>
        </is>
      </c>
      <c r="E625" s="5" t="n">
        <v>351</v>
      </c>
      <c r="F625" s="4" t="n">
        <v>0.4387464387464387</v>
      </c>
      <c r="G625" s="4" t="n">
        <v>0.6097943908981092</v>
      </c>
      <c r="H625" s="3" t="n">
        <v>4169244.054656158</v>
      </c>
      <c r="I625" s="3" t="n">
        <v>246589.0978107369</v>
      </c>
      <c r="J625" s="4" t="n">
        <v>0.0591447980924382</v>
      </c>
      <c r="K625">
        <f>IF(AND(I625&gt;0,J625&gt;=Assumptions!$B$4),1,0)</f>
        <v/>
      </c>
      <c r="L625" s="3">
        <f>I625*K625</f>
        <v/>
      </c>
      <c r="M625">
        <f>SUM($K$2:K625)</f>
        <v/>
      </c>
    </row>
    <row r="626">
      <c r="A626" t="inlineStr">
        <is>
          <t>200021</t>
        </is>
      </c>
      <c r="B626" t="inlineStr">
        <is>
          <t>Mid Coast Hospital</t>
        </is>
      </c>
      <c r="C626" t="inlineStr">
        <is>
          <t>ME</t>
        </is>
      </c>
      <c r="D626" t="inlineStr">
        <is>
          <t>Micropolitan</t>
        </is>
      </c>
      <c r="E626" s="5" t="n">
        <v>693</v>
      </c>
      <c r="F626" s="4" t="n">
        <v>0.5598845598845599</v>
      </c>
      <c r="G626" s="4" t="n">
        <v>0.672019692321157</v>
      </c>
      <c r="H626" s="3" t="n">
        <v>9113029.015357131</v>
      </c>
      <c r="I626" s="3" t="n">
        <v>246038.6210458465</v>
      </c>
      <c r="J626" s="4" t="n">
        <v>0.0269985556538035</v>
      </c>
      <c r="K626">
        <f>IF(AND(I626&gt;0,J626&gt;=Assumptions!$B$4),1,0)</f>
        <v/>
      </c>
      <c r="L626" s="3">
        <f>I626*K626</f>
        <v/>
      </c>
      <c r="M626">
        <f>SUM($K$2:K626)</f>
        <v/>
      </c>
    </row>
    <row r="627">
      <c r="A627" t="inlineStr">
        <is>
          <t>140002</t>
        </is>
      </c>
      <c r="B627" t="inlineStr">
        <is>
          <t>Alton Memorial Hospital</t>
        </is>
      </c>
      <c r="C627" t="inlineStr">
        <is>
          <t>IL</t>
        </is>
      </c>
      <c r="D627" t="inlineStr">
        <is>
          <t>Metropolitan</t>
        </is>
      </c>
      <c r="E627" s="5" t="n">
        <v>1025</v>
      </c>
      <c r="F627" s="4" t="n">
        <v>0.5853658536585366</v>
      </c>
      <c r="G627" s="4" t="n">
        <v>0.6256515694279546</v>
      </c>
      <c r="H627" s="3" t="n">
        <v>12633972.63599158</v>
      </c>
      <c r="I627" s="3" t="n">
        <v>245588.6185445003</v>
      </c>
      <c r="J627" s="4" t="n">
        <v>0.0194387486517795</v>
      </c>
      <c r="K627">
        <f>IF(AND(I627&gt;0,J627&gt;=Assumptions!$B$4),1,0)</f>
        <v/>
      </c>
      <c r="L627" s="3">
        <f>I627*K627</f>
        <v/>
      </c>
      <c r="M627">
        <f>SUM($K$2:K627)</f>
        <v/>
      </c>
    </row>
    <row r="628">
      <c r="A628" t="inlineStr">
        <is>
          <t>520160</t>
        </is>
      </c>
      <c r="B628" t="inlineStr">
        <is>
          <t>Thedacare Regional Medical Center - Appleton Inc</t>
        </is>
      </c>
      <c r="C628" t="inlineStr">
        <is>
          <t>WI</t>
        </is>
      </c>
      <c r="D628" t="inlineStr">
        <is>
          <t>Metropolitan</t>
        </is>
      </c>
      <c r="E628" s="5" t="n">
        <v>625</v>
      </c>
      <c r="F628" s="4" t="n">
        <v>0.5536</v>
      </c>
      <c r="G628" s="4" t="n">
        <v>0.6383808732570168</v>
      </c>
      <c r="H628" s="3" t="n">
        <v>11340637.00503288</v>
      </c>
      <c r="I628" s="3" t="n">
        <v>245285.1951274052</v>
      </c>
      <c r="J628" s="4" t="n">
        <v>0.0216288727889403</v>
      </c>
      <c r="K628">
        <f>IF(AND(I628&gt;0,J628&gt;=Assumptions!$B$4),1,0)</f>
        <v/>
      </c>
      <c r="L628" s="3">
        <f>I628*K628</f>
        <v/>
      </c>
      <c r="M628">
        <f>SUM($K$2:K628)</f>
        <v/>
      </c>
    </row>
    <row r="629">
      <c r="A629" t="inlineStr">
        <is>
          <t>330307</t>
        </is>
      </c>
      <c r="B629" t="inlineStr">
        <is>
          <t>Cayuga Medical Center At Ithaca</t>
        </is>
      </c>
      <c r="C629" t="inlineStr">
        <is>
          <t>NY</t>
        </is>
      </c>
      <c r="D629" t="inlineStr">
        <is>
          <t>Metropolitan</t>
        </is>
      </c>
      <c r="E629" s="5" t="n">
        <v>586</v>
      </c>
      <c r="F629" s="4" t="n">
        <v>0.5853242320819113</v>
      </c>
      <c r="G629" s="4" t="n">
        <v>0.6426820827372842</v>
      </c>
      <c r="H629" s="3" t="n">
        <v>8467404.890922531</v>
      </c>
      <c r="I629" s="3" t="n">
        <v>244882.947192613</v>
      </c>
      <c r="J629" s="4" t="n">
        <v>0.0289206610935942</v>
      </c>
      <c r="K629">
        <f>IF(AND(I629&gt;0,J629&gt;=Assumptions!$B$4),1,0)</f>
        <v/>
      </c>
      <c r="L629" s="3">
        <f>I629*K629</f>
        <v/>
      </c>
      <c r="M629">
        <f>SUM($K$2:K629)</f>
        <v/>
      </c>
    </row>
    <row r="630">
      <c r="A630" t="inlineStr">
        <is>
          <t>440120</t>
        </is>
      </c>
      <c r="B630" t="inlineStr">
        <is>
          <t>Tennova Healthcare North Knoxville Medical Center</t>
        </is>
      </c>
      <c r="C630" t="inlineStr">
        <is>
          <t>TN</t>
        </is>
      </c>
      <c r="D630" t="inlineStr">
        <is>
          <t>Metropolitan</t>
        </is>
      </c>
      <c r="E630" s="5" t="n">
        <v>2085</v>
      </c>
      <c r="F630" s="4" t="n">
        <v>0.5640287769784172</v>
      </c>
      <c r="G630" s="4" t="n">
        <v>0.5680835546680767</v>
      </c>
      <c r="H630" s="3" t="n">
        <v>37120710.60552191</v>
      </c>
      <c r="I630" s="3" t="n">
        <v>244780.2362039313</v>
      </c>
      <c r="J630" s="4" t="n">
        <v>0.006594168921096</v>
      </c>
      <c r="K630">
        <f>IF(AND(I630&gt;0,J630&gt;=Assumptions!$B$4),1,0)</f>
        <v/>
      </c>
      <c r="L630" s="3">
        <f>I630*K630</f>
        <v/>
      </c>
      <c r="M630">
        <f>SUM($K$2:K630)</f>
        <v/>
      </c>
    </row>
    <row r="631">
      <c r="A631" t="inlineStr">
        <is>
          <t>310130</t>
        </is>
      </c>
      <c r="B631" t="inlineStr">
        <is>
          <t>Hackensack Meridian Health Pascack Valley Medical</t>
        </is>
      </c>
      <c r="C631" t="inlineStr">
        <is>
          <t>NJ</t>
        </is>
      </c>
      <c r="D631" t="inlineStr">
        <is>
          <t>Metropolitan</t>
        </is>
      </c>
      <c r="E631" s="5" t="n">
        <v>551</v>
      </c>
      <c r="F631" s="4" t="n">
        <v>0.5480943738656987</v>
      </c>
      <c r="G631" s="4" t="n">
        <v>0.6311869081561257</v>
      </c>
      <c r="H631" s="3" t="n">
        <v>6803193.575207828</v>
      </c>
      <c r="I631" s="3" t="n">
        <v>244654.8779721325</v>
      </c>
      <c r="J631" s="4" t="n">
        <v>0.0359617693172369</v>
      </c>
      <c r="K631">
        <f>IF(AND(I631&gt;0,J631&gt;=Assumptions!$B$4),1,0)</f>
        <v/>
      </c>
      <c r="L631" s="3">
        <f>I631*K631</f>
        <v/>
      </c>
      <c r="M631">
        <f>SUM($K$2:K631)</f>
        <v/>
      </c>
    </row>
    <row r="632">
      <c r="A632" t="inlineStr">
        <is>
          <t>050124</t>
        </is>
      </c>
      <c r="B632" t="inlineStr">
        <is>
          <t>Usc Verdugo Hills Hospital</t>
        </is>
      </c>
      <c r="C632" t="inlineStr">
        <is>
          <t>CA</t>
        </is>
      </c>
      <c r="D632" t="inlineStr">
        <is>
          <t>Metropolitan</t>
        </is>
      </c>
      <c r="E632" s="5" t="n">
        <v>1026</v>
      </c>
      <c r="F632" s="4" t="n">
        <v>0.601364522417154</v>
      </c>
      <c r="G632" s="4" t="n">
        <v>0.6614310005291836</v>
      </c>
      <c r="H632" s="3" t="n">
        <v>13640405.76987674</v>
      </c>
      <c r="I632" s="3" t="n">
        <v>244355.2409364488</v>
      </c>
      <c r="J632" s="4" t="n">
        <v>0.0179140741894994</v>
      </c>
      <c r="K632">
        <f>IF(AND(I632&gt;0,J632&gt;=Assumptions!$B$4),1,0)</f>
        <v/>
      </c>
      <c r="L632" s="3">
        <f>I632*K632</f>
        <v/>
      </c>
      <c r="M632">
        <f>SUM($K$2:K632)</f>
        <v/>
      </c>
    </row>
    <row r="633">
      <c r="A633" t="inlineStr">
        <is>
          <t>500007</t>
        </is>
      </c>
      <c r="B633" t="inlineStr">
        <is>
          <t>Island Hospital</t>
        </is>
      </c>
      <c r="C633" t="inlineStr">
        <is>
          <t>WA</t>
        </is>
      </c>
      <c r="D633" t="inlineStr">
        <is>
          <t>Micropolitan</t>
        </is>
      </c>
      <c r="E633" s="5" t="n">
        <v>365</v>
      </c>
      <c r="F633" s="4" t="n">
        <v>0.5424657534246575</v>
      </c>
      <c r="G633" s="4" t="n">
        <v>0.5301354936973155</v>
      </c>
      <c r="H633" s="3" t="n">
        <v>7237552.407215192</v>
      </c>
      <c r="I633" s="3" t="n">
        <v>239717.7401954262</v>
      </c>
      <c r="J633" s="4" t="n">
        <v>0.0331213822999677</v>
      </c>
      <c r="K633">
        <f>IF(AND(I633&gt;0,J633&gt;=Assumptions!$B$4),1,0)</f>
        <v/>
      </c>
      <c r="L633" s="3">
        <f>I633*K633</f>
        <v/>
      </c>
      <c r="M633">
        <f>SUM($K$2:K633)</f>
        <v/>
      </c>
    </row>
    <row r="634">
      <c r="A634" t="inlineStr">
        <is>
          <t>060075</t>
        </is>
      </c>
      <c r="B634" t="inlineStr">
        <is>
          <t>Valley View Hospital Association</t>
        </is>
      </c>
      <c r="C634" t="inlineStr">
        <is>
          <t>CO</t>
        </is>
      </c>
      <c r="D634" t="inlineStr">
        <is>
          <t>Micropolitan</t>
        </is>
      </c>
      <c r="E634" s="5" t="n">
        <v>362</v>
      </c>
      <c r="F634" s="4" t="n">
        <v>0.4889502762430939</v>
      </c>
      <c r="G634" s="4" t="n">
        <v>0.4905968694764863</v>
      </c>
      <c r="H634" s="3" t="n">
        <v>6344393.347163087</v>
      </c>
      <c r="I634" s="3" t="n">
        <v>239431.285040603</v>
      </c>
      <c r="J634" s="4" t="n">
        <v>0.0377390353874678</v>
      </c>
      <c r="K634">
        <f>IF(AND(I634&gt;0,J634&gt;=Assumptions!$B$4),1,0)</f>
        <v/>
      </c>
      <c r="L634" s="3">
        <f>I634*K634</f>
        <v/>
      </c>
      <c r="M634">
        <f>SUM($K$2:K634)</f>
        <v/>
      </c>
    </row>
    <row r="635">
      <c r="A635" t="inlineStr">
        <is>
          <t>100246</t>
        </is>
      </c>
      <c r="B635" t="inlineStr">
        <is>
          <t>Hca Florida Lawnwood Hospital</t>
        </is>
      </c>
      <c r="C635" t="inlineStr">
        <is>
          <t>FL</t>
        </is>
      </c>
      <c r="D635" t="inlineStr">
        <is>
          <t>Metropolitan</t>
        </is>
      </c>
      <c r="E635" s="5" t="n">
        <v>2735</v>
      </c>
      <c r="F635" s="4" t="n">
        <v>0.519926873857404</v>
      </c>
      <c r="G635" s="4" t="n">
        <v>0.5185806081917741</v>
      </c>
      <c r="H635" s="3" t="n">
        <v>46165375.39036584</v>
      </c>
      <c r="I635" s="3" t="n">
        <v>239339.8977211118</v>
      </c>
      <c r="J635" s="4" t="n">
        <v>0.0051844027195121</v>
      </c>
      <c r="K635">
        <f>IF(AND(I635&gt;0,J635&gt;=Assumptions!$B$4),1,0)</f>
        <v/>
      </c>
      <c r="L635" s="3">
        <f>I635*K635</f>
        <v/>
      </c>
      <c r="M635">
        <f>SUM($K$2:K635)</f>
        <v/>
      </c>
    </row>
    <row r="636">
      <c r="A636" t="inlineStr">
        <is>
          <t>100040</t>
        </is>
      </c>
      <c r="B636" t="inlineStr">
        <is>
          <t>Ascension St Vincent's Riverside</t>
        </is>
      </c>
      <c r="C636" t="inlineStr">
        <is>
          <t>FL</t>
        </is>
      </c>
      <c r="D636" t="inlineStr">
        <is>
          <t>Metropolitan</t>
        </is>
      </c>
      <c r="E636" s="5" t="n">
        <v>2678</v>
      </c>
      <c r="F636" s="4" t="n">
        <v>0.5306198655713219</v>
      </c>
      <c r="G636" s="4" t="n">
        <v>0.5149955063914279</v>
      </c>
      <c r="H636" s="3" t="n">
        <v>51879044.55704237</v>
      </c>
      <c r="I636" s="3" t="n">
        <v>238824.7663214803</v>
      </c>
      <c r="J636" s="4" t="n">
        <v>0.0046034919949014</v>
      </c>
      <c r="K636">
        <f>IF(AND(I636&gt;0,J636&gt;=Assumptions!$B$4),1,0)</f>
        <v/>
      </c>
      <c r="L636" s="3">
        <f>I636*K636</f>
        <v/>
      </c>
      <c r="M636">
        <f>SUM($K$2:K636)</f>
        <v/>
      </c>
    </row>
    <row r="637">
      <c r="A637" t="inlineStr">
        <is>
          <t>100285</t>
        </is>
      </c>
      <c r="B637" t="inlineStr">
        <is>
          <t>Memorial Hospital Miramar</t>
        </is>
      </c>
      <c r="C637" t="inlineStr">
        <is>
          <t>FL</t>
        </is>
      </c>
      <c r="D637" t="inlineStr">
        <is>
          <t>Metropolitan</t>
        </is>
      </c>
      <c r="E637" s="5" t="n">
        <v>414</v>
      </c>
      <c r="F637" s="4" t="n">
        <v>0.5217391304347826</v>
      </c>
      <c r="G637" s="4" t="n">
        <v>0.6308088407320996</v>
      </c>
      <c r="H637" s="3" t="n">
        <v>4829670.424970222</v>
      </c>
      <c r="I637" s="3" t="n">
        <v>237944.0063094143</v>
      </c>
      <c r="J637" s="4" t="n">
        <v>0.0492671311647277</v>
      </c>
      <c r="K637">
        <f>IF(AND(I637&gt;0,J637&gt;=Assumptions!$B$4),1,0)</f>
        <v/>
      </c>
      <c r="L637" s="3">
        <f>I637*K637</f>
        <v/>
      </c>
      <c r="M637">
        <f>SUM($K$2:K637)</f>
        <v/>
      </c>
    </row>
    <row r="638">
      <c r="A638" t="inlineStr">
        <is>
          <t>310115</t>
        </is>
      </c>
      <c r="B638" t="inlineStr">
        <is>
          <t>Hackettstown Medical Center</t>
        </is>
      </c>
      <c r="C638" t="inlineStr">
        <is>
          <t>NJ</t>
        </is>
      </c>
      <c r="D638" t="inlineStr">
        <is>
          <t>Metropolitan</t>
        </is>
      </c>
      <c r="E638" s="5" t="n">
        <v>982</v>
      </c>
      <c r="F638" s="4" t="n">
        <v>0.5835030549898167</v>
      </c>
      <c r="G638" s="4" t="n">
        <v>0.6413261194155921</v>
      </c>
      <c r="H638" s="3" t="n">
        <v>12300777.7445912</v>
      </c>
      <c r="I638" s="3" t="n">
        <v>237196.5183243081</v>
      </c>
      <c r="J638" s="4" t="n">
        <v>0.0192830504907387</v>
      </c>
      <c r="K638">
        <f>IF(AND(I638&gt;0,J638&gt;=Assumptions!$B$4),1,0)</f>
        <v/>
      </c>
      <c r="L638" s="3">
        <f>I638*K638</f>
        <v/>
      </c>
      <c r="M638">
        <f>SUM($K$2:K638)</f>
        <v/>
      </c>
    </row>
    <row r="639">
      <c r="A639" t="inlineStr">
        <is>
          <t>340142</t>
        </is>
      </c>
      <c r="B639" t="inlineStr">
        <is>
          <t>Carteret General Hospital</t>
        </is>
      </c>
      <c r="C639" t="inlineStr">
        <is>
          <t>NC</t>
        </is>
      </c>
      <c r="D639" t="inlineStr">
        <is>
          <t>Micropolitan</t>
        </is>
      </c>
      <c r="E639" s="5" t="n">
        <v>1108</v>
      </c>
      <c r="F639" s="4" t="n">
        <v>0.5866425992779783</v>
      </c>
      <c r="G639" s="4" t="n">
        <v>0.6180326031276846</v>
      </c>
      <c r="H639" s="3" t="n">
        <v>14531030.17887305</v>
      </c>
      <c r="I639" s="3" t="n">
        <v>237162.373464467</v>
      </c>
      <c r="J639" s="4" t="n">
        <v>0.0163210984042467</v>
      </c>
      <c r="K639">
        <f>IF(AND(I639&gt;0,J639&gt;=Assumptions!$B$4),1,0)</f>
        <v/>
      </c>
      <c r="L639" s="3">
        <f>I639*K639</f>
        <v/>
      </c>
      <c r="M639">
        <f>SUM($K$2:K639)</f>
        <v/>
      </c>
    </row>
    <row r="640">
      <c r="A640" t="inlineStr">
        <is>
          <t>050292</t>
        </is>
      </c>
      <c r="B640" t="inlineStr">
        <is>
          <t>Riverside University Health System-Medical Center</t>
        </is>
      </c>
      <c r="C640" t="inlineStr">
        <is>
          <t>CA</t>
        </is>
      </c>
      <c r="D640" t="inlineStr">
        <is>
          <t>Metropolitan</t>
        </is>
      </c>
      <c r="E640" s="5" t="n">
        <v>1134</v>
      </c>
      <c r="F640" s="4" t="n">
        <v>0.5599647266313933</v>
      </c>
      <c r="G640" s="4" t="n">
        <v>0.6055579460543673</v>
      </c>
      <c r="H640" s="3" t="n">
        <v>15148036.62818897</v>
      </c>
      <c r="I640" s="3" t="n">
        <v>236635.6406958606</v>
      </c>
      <c r="J640" s="4" t="n">
        <v>0.0156215387184571</v>
      </c>
      <c r="K640">
        <f>IF(AND(I640&gt;0,J640&gt;=Assumptions!$B$4),1,0)</f>
        <v/>
      </c>
      <c r="L640" s="3">
        <f>I640*K640</f>
        <v/>
      </c>
      <c r="M640">
        <f>SUM($K$2:K640)</f>
        <v/>
      </c>
    </row>
    <row r="641">
      <c r="A641" t="inlineStr">
        <is>
          <t>150026</t>
        </is>
      </c>
      <c r="B641" t="inlineStr">
        <is>
          <t>Goshen Hospital</t>
        </is>
      </c>
      <c r="C641" t="inlineStr">
        <is>
          <t>IN</t>
        </is>
      </c>
      <c r="D641" t="inlineStr">
        <is>
          <t>Metropolitan</t>
        </is>
      </c>
      <c r="E641" s="5" t="n">
        <v>566</v>
      </c>
      <c r="F641" s="4" t="n">
        <v>0.5759717314487632</v>
      </c>
      <c r="G641" s="4" t="n">
        <v>0.6432708066541042</v>
      </c>
      <c r="H641" s="3" t="n">
        <v>7790253.456381166</v>
      </c>
      <c r="I641" s="3" t="n">
        <v>235780.4122430412</v>
      </c>
      <c r="J641" s="4" t="n">
        <v>0.0302660771646535</v>
      </c>
      <c r="K641">
        <f>IF(AND(I641&gt;0,J641&gt;=Assumptions!$B$4),1,0)</f>
        <v/>
      </c>
      <c r="L641" s="3">
        <f>I641*K641</f>
        <v/>
      </c>
      <c r="M641">
        <f>SUM($K$2:K641)</f>
        <v/>
      </c>
    </row>
    <row r="642">
      <c r="A642" t="inlineStr">
        <is>
          <t>290049</t>
        </is>
      </c>
      <c r="B642" t="inlineStr">
        <is>
          <t>Renown South Meadows Medical Center</t>
        </is>
      </c>
      <c r="C642" t="inlineStr">
        <is>
          <t>NV</t>
        </is>
      </c>
      <c r="D642" t="inlineStr">
        <is>
          <t>Metropolitan</t>
        </is>
      </c>
      <c r="E642" s="5" t="n">
        <v>820</v>
      </c>
      <c r="F642" s="4" t="n">
        <v>0.5390243902439025</v>
      </c>
      <c r="G642" s="4" t="n">
        <v>0.572530679555126</v>
      </c>
      <c r="H642" s="3" t="n">
        <v>11662255.52901519</v>
      </c>
      <c r="I642" s="3" t="n">
        <v>235594.7519896273</v>
      </c>
      <c r="J642" s="4" t="n">
        <v>0.0202014740119077</v>
      </c>
      <c r="K642">
        <f>IF(AND(I642&gt;0,J642&gt;=Assumptions!$B$4),1,0)</f>
        <v/>
      </c>
      <c r="L642" s="3">
        <f>I642*K642</f>
        <v/>
      </c>
      <c r="M642">
        <f>SUM($K$2:K642)</f>
        <v/>
      </c>
    </row>
    <row r="643">
      <c r="A643" t="inlineStr">
        <is>
          <t>500026</t>
        </is>
      </c>
      <c r="B643" t="inlineStr">
        <is>
          <t>Swedish Edmonds Hospital</t>
        </is>
      </c>
      <c r="C643" t="inlineStr">
        <is>
          <t>WA</t>
        </is>
      </c>
      <c r="D643" t="inlineStr">
        <is>
          <t>Metropolitan</t>
        </is>
      </c>
      <c r="E643" s="5" t="n">
        <v>1075</v>
      </c>
      <c r="F643" s="4" t="n">
        <v>0.7190697674418605</v>
      </c>
      <c r="G643" s="4" t="n">
        <v>0.6995495303949798</v>
      </c>
      <c r="H643" s="3" t="n">
        <v>16602778.56821467</v>
      </c>
      <c r="I643" s="3" t="n">
        <v>235307.01575033</v>
      </c>
      <c r="J643" s="4" t="n">
        <v>0.0141727491445808</v>
      </c>
      <c r="K643">
        <f>IF(AND(I643&gt;0,J643&gt;=Assumptions!$B$4),1,0)</f>
        <v/>
      </c>
      <c r="L643" s="3">
        <f>I643*K643</f>
        <v/>
      </c>
      <c r="M643">
        <f>SUM($K$2:K643)</f>
        <v/>
      </c>
    </row>
    <row r="644">
      <c r="A644" t="inlineStr">
        <is>
          <t>050624</t>
        </is>
      </c>
      <c r="B644" t="inlineStr">
        <is>
          <t>Henry Mayo Newhall  Hospital</t>
        </is>
      </c>
      <c r="C644" t="inlineStr">
        <is>
          <t>CA</t>
        </is>
      </c>
      <c r="D644" t="inlineStr">
        <is>
          <t>Metropolitan</t>
        </is>
      </c>
      <c r="E644" s="5" t="n">
        <v>1365</v>
      </c>
      <c r="F644" s="4" t="n">
        <v>0.6175824175824176</v>
      </c>
      <c r="G644" s="4" t="n">
        <v>0.6448320901133511</v>
      </c>
      <c r="H644" s="3" t="n">
        <v>19127118.68991964</v>
      </c>
      <c r="I644" s="3" t="n">
        <v>233448.0441387855</v>
      </c>
      <c r="J644" s="4" t="n">
        <v>0.0122050815872135</v>
      </c>
      <c r="K644">
        <f>IF(AND(I644&gt;0,J644&gt;=Assumptions!$B$4),1,0)</f>
        <v/>
      </c>
      <c r="L644" s="3">
        <f>I644*K644</f>
        <v/>
      </c>
      <c r="M644">
        <f>SUM($K$2:K644)</f>
        <v/>
      </c>
    </row>
    <row r="645">
      <c r="A645" t="inlineStr">
        <is>
          <t>100266</t>
        </is>
      </c>
      <c r="B645" t="inlineStr">
        <is>
          <t>Gulf Breeze Hospital</t>
        </is>
      </c>
      <c r="C645" t="inlineStr">
        <is>
          <t>FL</t>
        </is>
      </c>
      <c r="D645" t="inlineStr">
        <is>
          <t>Metropolitan</t>
        </is>
      </c>
      <c r="E645" s="5" t="n">
        <v>659</v>
      </c>
      <c r="F645" s="4" t="n">
        <v>0.6661608497723824</v>
      </c>
      <c r="G645" s="4" t="n">
        <v>0.6528660640982034</v>
      </c>
      <c r="H645" s="3" t="n">
        <v>8917691.596344374</v>
      </c>
      <c r="I645" s="3" t="n">
        <v>232599.7274407596</v>
      </c>
      <c r="J645" s="4" t="n">
        <v>0.0260829526260034</v>
      </c>
      <c r="K645">
        <f>IF(AND(I645&gt;0,J645&gt;=Assumptions!$B$4),1,0)</f>
        <v/>
      </c>
      <c r="L645" s="3">
        <f>I645*K645</f>
        <v/>
      </c>
      <c r="M645">
        <f>SUM($K$2:K645)</f>
        <v/>
      </c>
    </row>
    <row r="646">
      <c r="A646" t="inlineStr">
        <is>
          <t>330125</t>
        </is>
      </c>
      <c r="B646" t="inlineStr">
        <is>
          <t>Rochester General Hospital</t>
        </is>
      </c>
      <c r="C646" t="inlineStr">
        <is>
          <t>NY</t>
        </is>
      </c>
      <c r="D646" t="inlineStr">
        <is>
          <t>Metropolitan</t>
        </is>
      </c>
      <c r="E646" s="5" t="n">
        <v>2232</v>
      </c>
      <c r="F646" s="4" t="n">
        <v>0.5327060931899642</v>
      </c>
      <c r="G646" s="4" t="n">
        <v>0.5516127766323367</v>
      </c>
      <c r="H646" s="3" t="n">
        <v>42000727.06248576</v>
      </c>
      <c r="I646" s="3" t="n">
        <v>232262.7782855481</v>
      </c>
      <c r="J646" s="4" t="n">
        <v>0.005529970420274</v>
      </c>
      <c r="K646">
        <f>IF(AND(I646&gt;0,J646&gt;=Assumptions!$B$4),1,0)</f>
        <v/>
      </c>
      <c r="L646" s="3">
        <f>I646*K646</f>
        <v/>
      </c>
      <c r="M646">
        <f>SUM($K$2:K646)</f>
        <v/>
      </c>
    </row>
    <row r="647">
      <c r="A647" t="inlineStr">
        <is>
          <t>160067</t>
        </is>
      </c>
      <c r="B647" t="inlineStr">
        <is>
          <t>Mercyone Waterloo Medical Center</t>
        </is>
      </c>
      <c r="C647" t="inlineStr">
        <is>
          <t>IA</t>
        </is>
      </c>
      <c r="D647" t="inlineStr">
        <is>
          <t>Metropolitan</t>
        </is>
      </c>
      <c r="E647" s="5" t="n">
        <v>579</v>
      </c>
      <c r="F647" s="4" t="n">
        <v>0.5768566493955095</v>
      </c>
      <c r="G647" s="4" t="n">
        <v>0.6378522273614071</v>
      </c>
      <c r="H647" s="3" t="n">
        <v>7875463.954439472</v>
      </c>
      <c r="I647" s="3" t="n">
        <v>231365.0368122412</v>
      </c>
      <c r="J647" s="4" t="n">
        <v>0.0293779564163732</v>
      </c>
      <c r="K647">
        <f>IF(AND(I647&gt;0,J647&gt;=Assumptions!$B$4),1,0)</f>
        <v/>
      </c>
      <c r="L647" s="3">
        <f>I647*K647</f>
        <v/>
      </c>
      <c r="M647">
        <f>SUM($K$2:K647)</f>
        <v/>
      </c>
    </row>
    <row r="648">
      <c r="A648" t="inlineStr">
        <is>
          <t>110105</t>
        </is>
      </c>
      <c r="B648" t="inlineStr">
        <is>
          <t>Colquitt Regional Medical Center</t>
        </is>
      </c>
      <c r="C648" t="inlineStr">
        <is>
          <t>GA</t>
        </is>
      </c>
      <c r="D648" t="inlineStr">
        <is>
          <t>Micropolitan</t>
        </is>
      </c>
      <c r="E648" s="5" t="n">
        <v>655</v>
      </c>
      <c r="F648" s="4" t="n">
        <v>0.5328244274809161</v>
      </c>
      <c r="G648" s="4" t="n">
        <v>0.6467774632286571</v>
      </c>
      <c r="H648" s="3" t="n">
        <v>8199772.139328765</v>
      </c>
      <c r="I648" s="3" t="n">
        <v>230531.1192070144</v>
      </c>
      <c r="J648" s="4" t="n">
        <v>0.0281143323606899</v>
      </c>
      <c r="K648">
        <f>IF(AND(I648&gt;0,J648&gt;=Assumptions!$B$4),1,0)</f>
        <v/>
      </c>
      <c r="L648" s="3">
        <f>I648*K648</f>
        <v/>
      </c>
      <c r="M648">
        <f>SUM($K$2:K648)</f>
        <v/>
      </c>
    </row>
    <row r="649">
      <c r="A649" t="inlineStr">
        <is>
          <t>330126</t>
        </is>
      </c>
      <c r="B649" t="inlineStr">
        <is>
          <t>Garnet Health Medical Center</t>
        </is>
      </c>
      <c r="C649" t="inlineStr">
        <is>
          <t>NY</t>
        </is>
      </c>
      <c r="D649" t="inlineStr">
        <is>
          <t>Metropolitan</t>
        </is>
      </c>
      <c r="E649" s="5" t="n">
        <v>4847</v>
      </c>
      <c r="F649" s="4" t="n">
        <v>0.5785021662884259</v>
      </c>
      <c r="G649" s="4" t="n">
        <v>0.5845513356330632</v>
      </c>
      <c r="H649" s="3" t="n">
        <v>69425908.80253309</v>
      </c>
      <c r="I649" s="3" t="n">
        <v>229853.3284945786</v>
      </c>
      <c r="J649" s="4" t="n">
        <v>0.0033107716191133</v>
      </c>
      <c r="K649">
        <f>IF(AND(I649&gt;0,J649&gt;=Assumptions!$B$4),1,0)</f>
        <v/>
      </c>
      <c r="L649" s="3">
        <f>I649*K649</f>
        <v/>
      </c>
      <c r="M649">
        <f>SUM($K$2:K649)</f>
        <v/>
      </c>
    </row>
    <row r="650">
      <c r="A650" t="inlineStr">
        <is>
          <t>520066</t>
        </is>
      </c>
      <c r="B650" t="inlineStr">
        <is>
          <t>Mercy Health System Corp</t>
        </is>
      </c>
      <c r="C650" t="inlineStr">
        <is>
          <t>WI</t>
        </is>
      </c>
      <c r="D650" t="inlineStr">
        <is>
          <t>Metropolitan</t>
        </is>
      </c>
      <c r="E650" s="5" t="n">
        <v>682</v>
      </c>
      <c r="F650" s="4" t="n">
        <v>0.5425219941348973</v>
      </c>
      <c r="G650" s="4" t="n">
        <v>0.5893569437496432</v>
      </c>
      <c r="H650" s="3" t="n">
        <v>10705050.24127172</v>
      </c>
      <c r="I650" s="3" t="n">
        <v>227274.553083539</v>
      </c>
      <c r="J650" s="4" t="n">
        <v>0.0212305919132743</v>
      </c>
      <c r="K650">
        <f>IF(AND(I650&gt;0,J650&gt;=Assumptions!$B$4),1,0)</f>
        <v/>
      </c>
      <c r="L650" s="3">
        <f>I650*K650</f>
        <v/>
      </c>
      <c r="M650">
        <f>SUM($K$2:K650)</f>
        <v/>
      </c>
    </row>
    <row r="651">
      <c r="A651" t="inlineStr">
        <is>
          <t>230259</t>
        </is>
      </c>
      <c r="B651" t="inlineStr">
        <is>
          <t>Chelsea Hospital</t>
        </is>
      </c>
      <c r="C651" t="inlineStr">
        <is>
          <t>MI</t>
        </is>
      </c>
      <c r="D651" t="inlineStr">
        <is>
          <t>Metropolitan</t>
        </is>
      </c>
      <c r="E651" s="5" t="n">
        <v>669</v>
      </c>
      <c r="F651" s="4" t="n">
        <v>0.5396113602391629</v>
      </c>
      <c r="G651" s="4" t="n">
        <v>0.6230327242750178</v>
      </c>
      <c r="H651" s="3" t="n">
        <v>8641826.656233106</v>
      </c>
      <c r="I651" s="3" t="n">
        <v>226790.9984790068</v>
      </c>
      <c r="J651" s="4" t="n">
        <v>0.0262434098137607</v>
      </c>
      <c r="K651">
        <f>IF(AND(I651&gt;0,J651&gt;=Assumptions!$B$4),1,0)</f>
        <v/>
      </c>
      <c r="L651" s="3">
        <f>I651*K651</f>
        <v/>
      </c>
      <c r="M651">
        <f>SUM($K$2:K651)</f>
        <v/>
      </c>
    </row>
    <row r="652">
      <c r="A652" t="inlineStr">
        <is>
          <t>490143</t>
        </is>
      </c>
      <c r="B652" t="inlineStr">
        <is>
          <t>Riverside Doctors' Hospital Of Williamsburg</t>
        </is>
      </c>
      <c r="C652" t="inlineStr">
        <is>
          <t>VA</t>
        </is>
      </c>
      <c r="D652" t="inlineStr">
        <is>
          <t>Metropolitan</t>
        </is>
      </c>
      <c r="E652" s="5" t="n">
        <v>437</v>
      </c>
      <c r="F652" s="4" t="n">
        <v>0.5881006864988558</v>
      </c>
      <c r="G652" s="4" t="n">
        <v>0.6751914649848541</v>
      </c>
      <c r="H652" s="3" t="n">
        <v>5289159.67095423</v>
      </c>
      <c r="I652" s="3" t="n">
        <v>226356.0350276762</v>
      </c>
      <c r="J652" s="4" t="n">
        <v>0.0427962188910131</v>
      </c>
      <c r="K652">
        <f>IF(AND(I652&gt;0,J652&gt;=Assumptions!$B$4),1,0)</f>
        <v/>
      </c>
      <c r="L652" s="3">
        <f>I652*K652</f>
        <v/>
      </c>
      <c r="M652">
        <f>SUM($K$2:K652)</f>
        <v/>
      </c>
    </row>
    <row r="653">
      <c r="A653" t="inlineStr">
        <is>
          <t>010092</t>
        </is>
      </c>
      <c r="B653" t="inlineStr">
        <is>
          <t>Dch Regional Medical Center</t>
        </is>
      </c>
      <c r="C653" t="inlineStr">
        <is>
          <t>AL</t>
        </is>
      </c>
      <c r="D653" t="inlineStr">
        <is>
          <t>Metropolitan</t>
        </is>
      </c>
      <c r="E653" s="5" t="n">
        <v>3079</v>
      </c>
      <c r="F653" s="4" t="n">
        <v>0.5748619681714843</v>
      </c>
      <c r="G653" s="4" t="n">
        <v>0.5871008253137766</v>
      </c>
      <c r="H653" s="3" t="n">
        <v>46268550.18085954</v>
      </c>
      <c r="I653" s="3" t="n">
        <v>225722.1108115911</v>
      </c>
      <c r="J653" s="4" t="n">
        <v>0.0048785213698995</v>
      </c>
      <c r="K653">
        <f>IF(AND(I653&gt;0,J653&gt;=Assumptions!$B$4),1,0)</f>
        <v/>
      </c>
      <c r="L653" s="3">
        <f>I653*K653</f>
        <v/>
      </c>
      <c r="M653">
        <f>SUM($K$2:K653)</f>
        <v/>
      </c>
    </row>
    <row r="654">
      <c r="A654" t="inlineStr">
        <is>
          <t>310060</t>
        </is>
      </c>
      <c r="B654" t="inlineStr">
        <is>
          <t>St Luke's Warren Hospital</t>
        </is>
      </c>
      <c r="C654" t="inlineStr">
        <is>
          <t>NJ</t>
        </is>
      </c>
      <c r="D654" t="inlineStr">
        <is>
          <t>Metropolitan</t>
        </is>
      </c>
      <c r="E654" s="5" t="n">
        <v>987</v>
      </c>
      <c r="F654" s="4" t="n">
        <v>0.6048632218844985</v>
      </c>
      <c r="G654" s="4" t="n">
        <v>0.668737780665707</v>
      </c>
      <c r="H654" s="3" t="n">
        <v>13384213.52460966</v>
      </c>
      <c r="I654" s="3" t="n">
        <v>225149.1472805906</v>
      </c>
      <c r="J654" s="4" t="n">
        <v>0.0168219930791306</v>
      </c>
      <c r="K654">
        <f>IF(AND(I654&gt;0,J654&gt;=Assumptions!$B$4),1,0)</f>
        <v/>
      </c>
      <c r="L654" s="3">
        <f>I654*K654</f>
        <v/>
      </c>
      <c r="M654">
        <f>SUM($K$2:K654)</f>
        <v/>
      </c>
    </row>
    <row r="655">
      <c r="A655" t="inlineStr">
        <is>
          <t>150044</t>
        </is>
      </c>
      <c r="B655" t="inlineStr">
        <is>
          <t>Baptist Health Floyd</t>
        </is>
      </c>
      <c r="C655" t="inlineStr">
        <is>
          <t>IN</t>
        </is>
      </c>
      <c r="D655" t="inlineStr">
        <is>
          <t>Metropolitan</t>
        </is>
      </c>
      <c r="E655" s="5" t="n">
        <v>3215</v>
      </c>
      <c r="F655" s="4" t="n">
        <v>0.5390357698289269</v>
      </c>
      <c r="G655" s="4" t="n">
        <v>0.5713551969826149</v>
      </c>
      <c r="H655" s="3" t="n">
        <v>48290872.03318102</v>
      </c>
      <c r="I655" s="3" t="n">
        <v>224820.3453359678</v>
      </c>
      <c r="J655" s="4" t="n">
        <v>0.0046555453623097</v>
      </c>
      <c r="K655">
        <f>IF(AND(I655&gt;0,J655&gt;=Assumptions!$B$4),1,0)</f>
        <v/>
      </c>
      <c r="L655" s="3">
        <f>I655*K655</f>
        <v/>
      </c>
      <c r="M655">
        <f>SUM($K$2:K655)</f>
        <v/>
      </c>
    </row>
    <row r="656">
      <c r="A656" t="inlineStr">
        <is>
          <t>100039</t>
        </is>
      </c>
      <c r="B656" t="inlineStr">
        <is>
          <t>Broward Health Medical Center</t>
        </is>
      </c>
      <c r="C656" t="inlineStr">
        <is>
          <t>FL</t>
        </is>
      </c>
      <c r="D656" t="inlineStr">
        <is>
          <t>Metropolitan</t>
        </is>
      </c>
      <c r="E656" s="5" t="n">
        <v>1376</v>
      </c>
      <c r="F656" s="4" t="n">
        <v>0.5341569767441861</v>
      </c>
      <c r="G656" s="4" t="n">
        <v>0.5728315804704193</v>
      </c>
      <c r="H656" s="3" t="n">
        <v>21745915.23531397</v>
      </c>
      <c r="I656" s="3" t="n">
        <v>224693.4812851734</v>
      </c>
      <c r="J656" s="4" t="n">
        <v>0.0103326753026373</v>
      </c>
      <c r="K656">
        <f>IF(AND(I656&gt;0,J656&gt;=Assumptions!$B$4),1,0)</f>
        <v/>
      </c>
      <c r="L656" s="3">
        <f>I656*K656</f>
        <v/>
      </c>
      <c r="M656">
        <f>SUM($K$2:K656)</f>
        <v/>
      </c>
    </row>
    <row r="657">
      <c r="A657" t="inlineStr">
        <is>
          <t>330208</t>
        </is>
      </c>
      <c r="B657" t="inlineStr">
        <is>
          <t>St John's Riverside Hospital</t>
        </is>
      </c>
      <c r="C657" t="inlineStr">
        <is>
          <t>NY</t>
        </is>
      </c>
      <c r="D657" t="inlineStr">
        <is>
          <t>Metropolitan</t>
        </is>
      </c>
      <c r="E657" s="5" t="n">
        <v>1446</v>
      </c>
      <c r="F657" s="4" t="n">
        <v>0.5622406639004149</v>
      </c>
      <c r="G657" s="4" t="n">
        <v>0.5999925379424845</v>
      </c>
      <c r="H657" s="3" t="n">
        <v>17939446.08707139</v>
      </c>
      <c r="I657" s="3" t="n">
        <v>221766.3677101769</v>
      </c>
      <c r="J657" s="4" t="n">
        <v>0.0123619406437526</v>
      </c>
      <c r="K657">
        <f>IF(AND(I657&gt;0,J657&gt;=Assumptions!$B$4),1,0)</f>
        <v/>
      </c>
      <c r="L657" s="3">
        <f>I657*K657</f>
        <v/>
      </c>
      <c r="M657">
        <f>SUM($K$2:K657)</f>
        <v/>
      </c>
    </row>
    <row r="658">
      <c r="A658" t="inlineStr">
        <is>
          <t>520198</t>
        </is>
      </c>
      <c r="B658" t="inlineStr">
        <is>
          <t>Aurora Medical Ctr Oshkosh</t>
        </is>
      </c>
      <c r="C658" t="inlineStr">
        <is>
          <t>WI</t>
        </is>
      </c>
      <c r="D658" t="inlineStr">
        <is>
          <t>Metropolitan</t>
        </is>
      </c>
      <c r="E658" s="5" t="n">
        <v>304</v>
      </c>
      <c r="F658" s="4" t="n">
        <v>0.75</v>
      </c>
      <c r="G658" s="4" t="n">
        <v>0.7052598544359608</v>
      </c>
      <c r="H658" s="3" t="n">
        <v>4871335.698100655</v>
      </c>
      <c r="I658" s="3" t="n">
        <v>221555.2173323389</v>
      </c>
      <c r="J658" s="4" t="n">
        <v>0.0454814102462131</v>
      </c>
      <c r="K658">
        <f>IF(AND(I658&gt;0,J658&gt;=Assumptions!$B$4),1,0)</f>
        <v/>
      </c>
      <c r="L658" s="3">
        <f>I658*K658</f>
        <v/>
      </c>
      <c r="M658">
        <f>SUM($K$2:K658)</f>
        <v/>
      </c>
    </row>
    <row r="659">
      <c r="A659" t="inlineStr">
        <is>
          <t>330267</t>
        </is>
      </c>
      <c r="B659" t="inlineStr">
        <is>
          <t>Hudson Valley Hospital Center</t>
        </is>
      </c>
      <c r="C659" t="inlineStr">
        <is>
          <t>NY</t>
        </is>
      </c>
      <c r="D659" t="inlineStr">
        <is>
          <t>Metropolitan</t>
        </is>
      </c>
      <c r="E659" s="5" t="n">
        <v>1728</v>
      </c>
      <c r="F659" s="4" t="n">
        <v>0.5978009259259259</v>
      </c>
      <c r="G659" s="4" t="n">
        <v>0.6280705608030914</v>
      </c>
      <c r="H659" s="3" t="n">
        <v>22452450.80930014</v>
      </c>
      <c r="I659" s="3" t="n">
        <v>218666.1553509645</v>
      </c>
      <c r="J659" s="4" t="n">
        <v>0.009739077359892901</v>
      </c>
      <c r="K659">
        <f>IF(AND(I659&gt;0,J659&gt;=Assumptions!$B$4),1,0)</f>
        <v/>
      </c>
      <c r="L659" s="3">
        <f>I659*K659</f>
        <v/>
      </c>
      <c r="M659">
        <f>SUM($K$2:K659)</f>
        <v/>
      </c>
    </row>
    <row r="660">
      <c r="A660" t="inlineStr">
        <is>
          <t>420048</t>
        </is>
      </c>
      <c r="B660" t="inlineStr">
        <is>
          <t>Kershaw Medical Center</t>
        </is>
      </c>
      <c r="C660" t="inlineStr">
        <is>
          <t>SC</t>
        </is>
      </c>
      <c r="D660" t="inlineStr">
        <is>
          <t>Micropolitan</t>
        </is>
      </c>
      <c r="E660" s="5" t="n">
        <v>463</v>
      </c>
      <c r="F660" s="4" t="n">
        <v>0.5658747300215983</v>
      </c>
      <c r="G660" s="4" t="n">
        <v>0.660913885249529</v>
      </c>
      <c r="H660" s="3" t="n">
        <v>6126455.3330887</v>
      </c>
      <c r="I660" s="3" t="n">
        <v>216637.905075389</v>
      </c>
      <c r="J660" s="4" t="n">
        <v>0.0353610519128961</v>
      </c>
      <c r="K660">
        <f>IF(AND(I660&gt;0,J660&gt;=Assumptions!$B$4),1,0)</f>
        <v/>
      </c>
      <c r="L660" s="3">
        <f>I660*K660</f>
        <v/>
      </c>
      <c r="M660">
        <f>SUM($K$2:K660)</f>
        <v/>
      </c>
    </row>
    <row r="661">
      <c r="A661" t="inlineStr">
        <is>
          <t>150069</t>
        </is>
      </c>
      <c r="B661" t="inlineStr">
        <is>
          <t>Norton-King's Daughters' Health</t>
        </is>
      </c>
      <c r="C661" t="inlineStr">
        <is>
          <t>IN</t>
        </is>
      </c>
      <c r="D661" t="inlineStr">
        <is>
          <t>Micropolitan</t>
        </is>
      </c>
      <c r="E661" s="5" t="n">
        <v>435</v>
      </c>
      <c r="F661" s="4" t="n">
        <v>0.6114942528735632</v>
      </c>
      <c r="G661" s="4" t="n">
        <v>0.7172042678914426</v>
      </c>
      <c r="H661" s="3" t="n">
        <v>5319676.996344337</v>
      </c>
      <c r="I661" s="3" t="n">
        <v>216343.1144362818</v>
      </c>
      <c r="J661" s="4" t="n">
        <v>0.040668468139128</v>
      </c>
      <c r="K661">
        <f>IF(AND(I661&gt;0,J661&gt;=Assumptions!$B$4),1,0)</f>
        <v/>
      </c>
      <c r="L661" s="3">
        <f>I661*K661</f>
        <v/>
      </c>
      <c r="M661">
        <f>SUM($K$2:K661)</f>
        <v/>
      </c>
    </row>
    <row r="662">
      <c r="A662" t="inlineStr">
        <is>
          <t>350015</t>
        </is>
      </c>
      <c r="B662" t="inlineStr">
        <is>
          <t>Sanford Medical Center Bismarck</t>
        </is>
      </c>
      <c r="C662" t="inlineStr">
        <is>
          <t>ND</t>
        </is>
      </c>
      <c r="D662" t="inlineStr">
        <is>
          <t>Metropolitan</t>
        </is>
      </c>
      <c r="E662" s="5" t="n">
        <v>3006</v>
      </c>
      <c r="F662" s="4" t="n">
        <v>0.5449101796407185</v>
      </c>
      <c r="G662" s="4" t="n">
        <v>0.544512742382268</v>
      </c>
      <c r="H662" s="3" t="n">
        <v>50908700.21649859</v>
      </c>
      <c r="I662" s="3" t="n">
        <v>216268.2743467316</v>
      </c>
      <c r="J662" s="4" t="n">
        <v>0.0042481594192546</v>
      </c>
      <c r="K662">
        <f>IF(AND(I662&gt;0,J662&gt;=Assumptions!$B$4),1,0)</f>
        <v/>
      </c>
      <c r="L662" s="3">
        <f>I662*K662</f>
        <v/>
      </c>
      <c r="M662">
        <f>SUM($K$2:K662)</f>
        <v/>
      </c>
    </row>
    <row r="663">
      <c r="A663" t="inlineStr">
        <is>
          <t>390035</t>
        </is>
      </c>
      <c r="B663" t="inlineStr">
        <is>
          <t>St Luke's Hospital - Upper Bucks Campus</t>
        </is>
      </c>
      <c r="C663" t="inlineStr">
        <is>
          <t>PA</t>
        </is>
      </c>
      <c r="D663" t="inlineStr">
        <is>
          <t>Metropolitan</t>
        </is>
      </c>
      <c r="E663" s="5" t="n">
        <v>866</v>
      </c>
      <c r="F663" s="4" t="n">
        <v>0.6443418013856813</v>
      </c>
      <c r="G663" s="4" t="n">
        <v>0.689546703081009</v>
      </c>
      <c r="H663" s="3" t="n">
        <v>11864518.85290616</v>
      </c>
      <c r="I663" s="3" t="n">
        <v>216044.4728648569</v>
      </c>
      <c r="J663" s="4" t="n">
        <v>0.0182092907047754</v>
      </c>
      <c r="K663">
        <f>IF(AND(I663&gt;0,J663&gt;=Assumptions!$B$4),1,0)</f>
        <v/>
      </c>
      <c r="L663" s="3">
        <f>I663*K663</f>
        <v/>
      </c>
      <c r="M663">
        <f>SUM($K$2:K663)</f>
        <v/>
      </c>
    </row>
    <row r="664">
      <c r="A664" t="inlineStr">
        <is>
          <t>390065</t>
        </is>
      </c>
      <c r="B664" t="inlineStr">
        <is>
          <t>Gettysburg Hospital</t>
        </is>
      </c>
      <c r="C664" t="inlineStr">
        <is>
          <t>PA</t>
        </is>
      </c>
      <c r="D664" t="inlineStr">
        <is>
          <t>Metropolitan</t>
        </is>
      </c>
      <c r="E664" s="5" t="n">
        <v>1047</v>
      </c>
      <c r="F664" s="4" t="n">
        <v>0.6485195797516714</v>
      </c>
      <c r="G664" s="4" t="n">
        <v>0.6896140970928825</v>
      </c>
      <c r="H664" s="3" t="n">
        <v>14420190.0594744</v>
      </c>
      <c r="I664" s="3" t="n">
        <v>212907.7726418916</v>
      </c>
      <c r="J664" s="4" t="n">
        <v>0.0147645607834417</v>
      </c>
      <c r="K664">
        <f>IF(AND(I664&gt;0,J664&gt;=Assumptions!$B$4),1,0)</f>
        <v/>
      </c>
      <c r="L664" s="3">
        <f>I664*K664</f>
        <v/>
      </c>
      <c r="M664">
        <f>SUM($K$2:K664)</f>
        <v/>
      </c>
    </row>
    <row r="665">
      <c r="A665" t="inlineStr">
        <is>
          <t>260094</t>
        </is>
      </c>
      <c r="B665" t="inlineStr">
        <is>
          <t>Cox Medical Center Branson</t>
        </is>
      </c>
      <c r="C665" t="inlineStr">
        <is>
          <t>MO</t>
        </is>
      </c>
      <c r="D665" t="inlineStr">
        <is>
          <t>Micropolitan</t>
        </is>
      </c>
      <c r="E665" s="5" t="n">
        <v>718</v>
      </c>
      <c r="F665" s="4" t="n">
        <v>0.6086350974930362</v>
      </c>
      <c r="G665" s="4" t="n">
        <v>0.6548850044123321</v>
      </c>
      <c r="H665" s="3" t="n">
        <v>9139016.84438275</v>
      </c>
      <c r="I665" s="3" t="n">
        <v>212819.7802950144</v>
      </c>
      <c r="J665" s="4" t="n">
        <v>0.0232869447467779</v>
      </c>
      <c r="K665">
        <f>IF(AND(I665&gt;0,J665&gt;=Assumptions!$B$4),1,0)</f>
        <v/>
      </c>
      <c r="L665" s="3">
        <f>I665*K665</f>
        <v/>
      </c>
      <c r="M665">
        <f>SUM($K$2:K665)</f>
        <v/>
      </c>
    </row>
    <row r="666">
      <c r="A666" t="inlineStr">
        <is>
          <t>060104</t>
        </is>
      </c>
      <c r="B666" t="inlineStr">
        <is>
          <t>St Anthony North Hospital</t>
        </is>
      </c>
      <c r="C666" t="inlineStr">
        <is>
          <t>CO</t>
        </is>
      </c>
      <c r="D666" t="inlineStr">
        <is>
          <t>Metropolitan</t>
        </is>
      </c>
      <c r="E666" s="5" t="n">
        <v>658</v>
      </c>
      <c r="F666" s="4" t="n">
        <v>0.6762917933130699</v>
      </c>
      <c r="G666" s="4" t="n">
        <v>0.668694642370512</v>
      </c>
      <c r="H666" s="3" t="n">
        <v>9089378.816940472</v>
      </c>
      <c r="I666" s="3" t="n">
        <v>212304.4151723627</v>
      </c>
      <c r="J666" s="4" t="n">
        <v>0.0233574174262246</v>
      </c>
      <c r="K666">
        <f>IF(AND(I666&gt;0,J666&gt;=Assumptions!$B$4),1,0)</f>
        <v/>
      </c>
      <c r="L666" s="3">
        <f>I666*K666</f>
        <v/>
      </c>
      <c r="M666">
        <f>SUM($K$2:K666)</f>
        <v/>
      </c>
    </row>
    <row r="667">
      <c r="A667" t="inlineStr">
        <is>
          <t>420033</t>
        </is>
      </c>
      <c r="B667" t="inlineStr">
        <is>
          <t>Prisma Health Greer Memorial Hospital</t>
        </is>
      </c>
      <c r="C667" t="inlineStr">
        <is>
          <t>SC</t>
        </is>
      </c>
      <c r="D667" t="inlineStr">
        <is>
          <t>Metropolitan</t>
        </is>
      </c>
      <c r="E667" s="5" t="n">
        <v>696</v>
      </c>
      <c r="F667" s="4" t="n">
        <v>0.5991379310344828</v>
      </c>
      <c r="G667" s="4" t="n">
        <v>0.6605827632552805</v>
      </c>
      <c r="H667" s="3" t="n">
        <v>8848193.586839207</v>
      </c>
      <c r="I667" s="3" t="n">
        <v>212084.6006467585</v>
      </c>
      <c r="J667" s="4" t="n">
        <v>0.0239692541268777</v>
      </c>
      <c r="K667">
        <f>IF(AND(I667&gt;0,J667&gt;=Assumptions!$B$4),1,0)</f>
        <v/>
      </c>
      <c r="L667" s="3">
        <f>I667*K667</f>
        <v/>
      </c>
      <c r="M667">
        <f>SUM($K$2:K667)</f>
        <v/>
      </c>
    </row>
    <row r="668">
      <c r="A668" t="inlineStr">
        <is>
          <t>050008</t>
        </is>
      </c>
      <c r="B668" t="inlineStr">
        <is>
          <t>California Pacific Medical Ctr-Davies Campus Hosp</t>
        </is>
      </c>
      <c r="C668" t="inlineStr">
        <is>
          <t>CA</t>
        </is>
      </c>
      <c r="D668" t="inlineStr">
        <is>
          <t>Metropolitan</t>
        </is>
      </c>
      <c r="E668" s="5" t="n">
        <v>408</v>
      </c>
      <c r="F668" s="4" t="n">
        <v>0.6102941176470589</v>
      </c>
      <c r="G668" s="4" t="n">
        <v>0.7138881826354196</v>
      </c>
      <c r="H668" s="3" t="n">
        <v>6333828.067654361</v>
      </c>
      <c r="I668" s="3" t="n">
        <v>212062.6258473108</v>
      </c>
      <c r="J668" s="4" t="n">
        <v>0.0334809571055889</v>
      </c>
      <c r="K668">
        <f>IF(AND(I668&gt;0,J668&gt;=Assumptions!$B$4),1,0)</f>
        <v/>
      </c>
      <c r="L668" s="3">
        <f>I668*K668</f>
        <v/>
      </c>
      <c r="M668">
        <f>SUM($K$2:K668)</f>
        <v/>
      </c>
    </row>
    <row r="669">
      <c r="A669" t="inlineStr">
        <is>
          <t>390268</t>
        </is>
      </c>
      <c r="B669" t="inlineStr">
        <is>
          <t>Mount Nittany Medical Center</t>
        </is>
      </c>
      <c r="C669" t="inlineStr">
        <is>
          <t>PA</t>
        </is>
      </c>
      <c r="D669" t="inlineStr">
        <is>
          <t>Metropolitan</t>
        </is>
      </c>
      <c r="E669" s="5" t="n">
        <v>1494</v>
      </c>
      <c r="F669" s="4" t="n">
        <v>0.536144578313253</v>
      </c>
      <c r="G669" s="4" t="n">
        <v>0.5737740199969643</v>
      </c>
      <c r="H669" s="3" t="n">
        <v>22216599.45896488</v>
      </c>
      <c r="I669" s="3" t="n">
        <v>211139.4850154966</v>
      </c>
      <c r="J669" s="4" t="n">
        <v>0.009503681488496001</v>
      </c>
      <c r="K669">
        <f>IF(AND(I669&gt;0,J669&gt;=Assumptions!$B$4),1,0)</f>
        <v/>
      </c>
      <c r="L669" s="3">
        <f>I669*K669</f>
        <v/>
      </c>
      <c r="M669">
        <f>SUM($K$2:K669)</f>
        <v/>
      </c>
    </row>
    <row r="670">
      <c r="A670" t="inlineStr">
        <is>
          <t>260062</t>
        </is>
      </c>
      <c r="B670" t="inlineStr">
        <is>
          <t>Saint Lukes North Hospital</t>
        </is>
      </c>
      <c r="C670" t="inlineStr">
        <is>
          <t>MO</t>
        </is>
      </c>
      <c r="D670" t="inlineStr">
        <is>
          <t>Metropolitan</t>
        </is>
      </c>
      <c r="E670" s="5" t="n">
        <v>873</v>
      </c>
      <c r="F670" s="4" t="n">
        <v>0.5383734249713631</v>
      </c>
      <c r="G670" s="4" t="n">
        <v>0.5847635622036902</v>
      </c>
      <c r="H670" s="3" t="n">
        <v>11002157.14108121</v>
      </c>
      <c r="I670" s="3" t="n">
        <v>209653.1711964943</v>
      </c>
      <c r="J670" s="4" t="n">
        <v>0.0190556423170566</v>
      </c>
      <c r="K670">
        <f>IF(AND(I670&gt;0,J670&gt;=Assumptions!$B$4),1,0)</f>
        <v/>
      </c>
      <c r="L670" s="3">
        <f>I670*K670</f>
        <v/>
      </c>
      <c r="M670">
        <f>SUM($K$2:K670)</f>
        <v/>
      </c>
    </row>
    <row r="671">
      <c r="A671" t="inlineStr">
        <is>
          <t>100154</t>
        </is>
      </c>
      <c r="B671" t="inlineStr">
        <is>
          <t>South Miami Hospital</t>
        </is>
      </c>
      <c r="C671" t="inlineStr">
        <is>
          <t>FL</t>
        </is>
      </c>
      <c r="D671" t="inlineStr">
        <is>
          <t>Metropolitan</t>
        </is>
      </c>
      <c r="E671" s="5" t="n">
        <v>1333</v>
      </c>
      <c r="F671" s="4" t="n">
        <v>0.5618904726181545</v>
      </c>
      <c r="G671" s="4" t="n">
        <v>0.5987771410451697</v>
      </c>
      <c r="H671" s="3" t="n">
        <v>21448733.87515106</v>
      </c>
      <c r="I671" s="3" t="n">
        <v>209631.5680982321</v>
      </c>
      <c r="J671" s="4" t="n">
        <v>0.009773610382713301</v>
      </c>
      <c r="K671">
        <f>IF(AND(I671&gt;0,J671&gt;=Assumptions!$B$4),1,0)</f>
        <v/>
      </c>
      <c r="L671" s="3">
        <f>I671*K671</f>
        <v/>
      </c>
      <c r="M671">
        <f>SUM($K$2:K671)</f>
        <v/>
      </c>
    </row>
    <row r="672">
      <c r="A672" t="inlineStr">
        <is>
          <t>100137</t>
        </is>
      </c>
      <c r="B672" t="inlineStr">
        <is>
          <t>Adventhealth Heart Of Florida</t>
        </is>
      </c>
      <c r="C672" t="inlineStr">
        <is>
          <t>FL</t>
        </is>
      </c>
      <c r="D672" t="inlineStr">
        <is>
          <t>Metropolitan</t>
        </is>
      </c>
      <c r="E672" s="5" t="n">
        <v>813</v>
      </c>
      <c r="F672" s="4" t="n">
        <v>0.6875768757687577</v>
      </c>
      <c r="G672" s="4" t="n">
        <v>0.6815608883629658</v>
      </c>
      <c r="H672" s="3" t="n">
        <v>12447718.8042423</v>
      </c>
      <c r="I672" s="3" t="n">
        <v>209554.7217795178</v>
      </c>
      <c r="J672" s="4" t="n">
        <v>0.0168347891750333</v>
      </c>
      <c r="K672">
        <f>IF(AND(I672&gt;0,J672&gt;=Assumptions!$B$4),1,0)</f>
        <v/>
      </c>
      <c r="L672" s="3">
        <f>I672*K672</f>
        <v/>
      </c>
      <c r="M672">
        <f>SUM($K$2:K672)</f>
        <v/>
      </c>
    </row>
    <row r="673">
      <c r="A673" t="inlineStr">
        <is>
          <t>100299</t>
        </is>
      </c>
      <c r="B673" t="inlineStr">
        <is>
          <t>Lakewood Ranch Medical Center</t>
        </is>
      </c>
      <c r="C673" t="inlineStr">
        <is>
          <t>FL</t>
        </is>
      </c>
      <c r="D673" t="inlineStr">
        <is>
          <t>Metropolitan</t>
        </is>
      </c>
      <c r="E673" s="5" t="n">
        <v>1550</v>
      </c>
      <c r="F673" s="4" t="n">
        <v>0.5541935483870968</v>
      </c>
      <c r="G673" s="4" t="n">
        <v>0.569134678238156</v>
      </c>
      <c r="H673" s="3" t="n">
        <v>23397257.34534642</v>
      </c>
      <c r="I673" s="3" t="n">
        <v>209022.3273887001</v>
      </c>
      <c r="J673" s="4" t="n">
        <v>0.0089336251810844</v>
      </c>
      <c r="K673">
        <f>IF(AND(I673&gt;0,J673&gt;=Assumptions!$B$4),1,0)</f>
        <v/>
      </c>
      <c r="L673" s="3">
        <f>I673*K673</f>
        <v/>
      </c>
      <c r="M673">
        <f>SUM($K$2:K673)</f>
        <v/>
      </c>
    </row>
    <row r="674">
      <c r="A674" t="inlineStr">
        <is>
          <t>670260</t>
        </is>
      </c>
      <c r="B674" t="inlineStr">
        <is>
          <t>Texas Health Hospital Frisco</t>
        </is>
      </c>
      <c r="C674" t="inlineStr">
        <is>
          <t>TX</t>
        </is>
      </c>
      <c r="D674" t="inlineStr">
        <is>
          <t>Metropolitan</t>
        </is>
      </c>
      <c r="E674" s="5" t="n">
        <v>389</v>
      </c>
      <c r="F674" s="4" t="n">
        <v>0.6529562982005142</v>
      </c>
      <c r="G674" s="4" t="n">
        <v>0.7248022436590255</v>
      </c>
      <c r="H674" s="3" t="n">
        <v>5668365.933303864</v>
      </c>
      <c r="I674" s="3" t="n">
        <v>208121.68699787</v>
      </c>
      <c r="J674" s="4" t="n">
        <v>0.0367163463768409</v>
      </c>
      <c r="K674">
        <f>IF(AND(I674&gt;0,J674&gt;=Assumptions!$B$4),1,0)</f>
        <v/>
      </c>
      <c r="L674" s="3">
        <f>I674*K674</f>
        <v/>
      </c>
      <c r="M674">
        <f>SUM($K$2:K674)</f>
        <v/>
      </c>
    </row>
    <row r="675">
      <c r="A675" t="inlineStr">
        <is>
          <t>340171</t>
        </is>
      </c>
      <c r="B675" t="inlineStr">
        <is>
          <t>Novant Health Matthews Medical Center</t>
        </is>
      </c>
      <c r="C675" t="inlineStr">
        <is>
          <t>NC</t>
        </is>
      </c>
      <c r="D675" t="inlineStr">
        <is>
          <t>Metropolitan</t>
        </is>
      </c>
      <c r="E675" s="5" t="n">
        <v>1373</v>
      </c>
      <c r="F675" s="4" t="n">
        <v>0.5979606700655499</v>
      </c>
      <c r="G675" s="4" t="n">
        <v>0.6146792371747635</v>
      </c>
      <c r="H675" s="3" t="n">
        <v>18422526.36063845</v>
      </c>
      <c r="I675" s="3" t="n">
        <v>206155.0175848305</v>
      </c>
      <c r="J675" s="4" t="n">
        <v>0.0111903771257617</v>
      </c>
      <c r="K675">
        <f>IF(AND(I675&gt;0,J675&gt;=Assumptions!$B$4),1,0)</f>
        <v/>
      </c>
      <c r="L675" s="3">
        <f>I675*K675</f>
        <v/>
      </c>
      <c r="M675">
        <f>SUM($K$2:K675)</f>
        <v/>
      </c>
    </row>
    <row r="676">
      <c r="A676" t="inlineStr">
        <is>
          <t>210060</t>
        </is>
      </c>
      <c r="B676" t="inlineStr">
        <is>
          <t>Adventist Healthcare Fort Washington Medical Ctr</t>
        </is>
      </c>
      <c r="C676" t="inlineStr">
        <is>
          <t>MD</t>
        </is>
      </c>
      <c r="D676" t="inlineStr">
        <is>
          <t>Metropolitan</t>
        </is>
      </c>
      <c r="E676" s="5" t="n">
        <v>410</v>
      </c>
      <c r="F676" s="4" t="n">
        <v>0.6463414634146342</v>
      </c>
      <c r="G676" s="4" t="n">
        <v>0.75682688781935</v>
      </c>
      <c r="H676" s="3" t="n">
        <v>5695499.748168693</v>
      </c>
      <c r="I676" s="3" t="n">
        <v>205316.745502565</v>
      </c>
      <c r="J676" s="4" t="n">
        <v>0.0360489429515964</v>
      </c>
      <c r="K676">
        <f>IF(AND(I676&gt;0,J676&gt;=Assumptions!$B$4),1,0)</f>
        <v/>
      </c>
      <c r="L676" s="3">
        <f>I676*K676</f>
        <v/>
      </c>
      <c r="M676">
        <f>SUM($K$2:K676)</f>
        <v/>
      </c>
    </row>
    <row r="677">
      <c r="A677" t="inlineStr">
        <is>
          <t>510050</t>
        </is>
      </c>
      <c r="B677" t="inlineStr">
        <is>
          <t>Wheeling Hospital, Inc</t>
        </is>
      </c>
      <c r="C677" t="inlineStr">
        <is>
          <t>WV</t>
        </is>
      </c>
      <c r="D677" t="inlineStr">
        <is>
          <t>Metropolitan</t>
        </is>
      </c>
      <c r="E677" s="5" t="n">
        <v>1905</v>
      </c>
      <c r="F677" s="4" t="n">
        <v>0.5606299212598426</v>
      </c>
      <c r="G677" s="4" t="n">
        <v>0.5746957923212639</v>
      </c>
      <c r="H677" s="3" t="n">
        <v>28367131.68785516</v>
      </c>
      <c r="I677" s="3" t="n">
        <v>204603.0743444562</v>
      </c>
      <c r="J677" s="4" t="n">
        <v>0.0072126810914778</v>
      </c>
      <c r="K677">
        <f>IF(AND(I677&gt;0,J677&gt;=Assumptions!$B$4),1,0)</f>
        <v/>
      </c>
      <c r="L677" s="3">
        <f>I677*K677</f>
        <v/>
      </c>
      <c r="M677">
        <f>SUM($K$2:K677)</f>
        <v/>
      </c>
    </row>
    <row r="678">
      <c r="A678" t="inlineStr">
        <is>
          <t>010056</t>
        </is>
      </c>
      <c r="B678" t="inlineStr">
        <is>
          <t>St Vincent's Birmingham</t>
        </is>
      </c>
      <c r="C678" t="inlineStr">
        <is>
          <t>AL</t>
        </is>
      </c>
      <c r="D678" t="inlineStr">
        <is>
          <t>Metropolitan</t>
        </is>
      </c>
      <c r="E678" s="5" t="n">
        <v>2213</v>
      </c>
      <c r="F678" s="4" t="n">
        <v>0.5558065973791234</v>
      </c>
      <c r="G678" s="4" t="n">
        <v>0.551301940145247</v>
      </c>
      <c r="H678" s="3" t="n">
        <v>36086550.16585092</v>
      </c>
      <c r="I678" s="3" t="n">
        <v>202454.1858204752</v>
      </c>
      <c r="J678" s="4" t="n">
        <v>0.0056102394074804</v>
      </c>
      <c r="K678">
        <f>IF(AND(I678&gt;0,J678&gt;=Assumptions!$B$4),1,0)</f>
        <v/>
      </c>
      <c r="L678" s="3">
        <f>I678*K678</f>
        <v/>
      </c>
      <c r="M678">
        <f>SUM($K$2:K678)</f>
        <v/>
      </c>
    </row>
    <row r="679">
      <c r="A679" t="inlineStr">
        <is>
          <t>340147</t>
        </is>
      </c>
      <c r="B679" t="inlineStr">
        <is>
          <t>Unc Health Nash</t>
        </is>
      </c>
      <c r="C679" t="inlineStr">
        <is>
          <t>NC</t>
        </is>
      </c>
      <c r="D679" t="inlineStr">
        <is>
          <t>Metropolitan</t>
        </is>
      </c>
      <c r="E679" s="5" t="n">
        <v>1889</v>
      </c>
      <c r="F679" s="4" t="n">
        <v>0.5754367390153521</v>
      </c>
      <c r="G679" s="4" t="n">
        <v>0.6073354944593106</v>
      </c>
      <c r="H679" s="3" t="n">
        <v>24332402.04635305</v>
      </c>
      <c r="I679" s="3" t="n">
        <v>202354.794126194</v>
      </c>
      <c r="J679" s="4" t="n">
        <v>0.008316268724341699</v>
      </c>
      <c r="K679">
        <f>IF(AND(I679&gt;0,J679&gt;=Assumptions!$B$4),1,0)</f>
        <v/>
      </c>
      <c r="L679" s="3">
        <f>I679*K679</f>
        <v/>
      </c>
      <c r="M679">
        <f>SUM($K$2:K679)</f>
        <v/>
      </c>
    </row>
    <row r="680">
      <c r="A680" t="inlineStr">
        <is>
          <t>310025</t>
        </is>
      </c>
      <c r="B680" t="inlineStr">
        <is>
          <t>Carepoint Health - Bayonne Medical Center</t>
        </is>
      </c>
      <c r="C680" t="inlineStr">
        <is>
          <t>NJ</t>
        </is>
      </c>
      <c r="D680" t="inlineStr">
        <is>
          <t>Metropolitan</t>
        </is>
      </c>
      <c r="E680" s="5" t="n">
        <v>600</v>
      </c>
      <c r="F680" s="4" t="n">
        <v>0.6116666666666667</v>
      </c>
      <c r="G680" s="4" t="n">
        <v>0.7115355565565379</v>
      </c>
      <c r="H680" s="3" t="n">
        <v>8236756.934762269</v>
      </c>
      <c r="I680" s="3" t="n">
        <v>201399.4336442249</v>
      </c>
      <c r="J680" s="4" t="n">
        <v>0.0244513022830918</v>
      </c>
      <c r="K680">
        <f>IF(AND(I680&gt;0,J680&gt;=Assumptions!$B$4),1,0)</f>
        <v/>
      </c>
      <c r="L680" s="3">
        <f>I680*K680</f>
        <v/>
      </c>
      <c r="M680">
        <f>SUM($K$2:K680)</f>
        <v/>
      </c>
    </row>
    <row r="681">
      <c r="A681" t="inlineStr">
        <is>
          <t>440193</t>
        </is>
      </c>
      <c r="B681" t="inlineStr">
        <is>
          <t>Vanderbilt Wilson County Hospital</t>
        </is>
      </c>
      <c r="C681" t="inlineStr">
        <is>
          <t>TN</t>
        </is>
      </c>
      <c r="D681" t="inlineStr">
        <is>
          <t>Micropolitan</t>
        </is>
      </c>
      <c r="E681" s="5" t="n">
        <v>928</v>
      </c>
      <c r="F681" s="4" t="n">
        <v>0.572198275862069</v>
      </c>
      <c r="G681" s="4" t="n">
        <v>0.6102896914716663</v>
      </c>
      <c r="H681" s="3" t="n">
        <v>11400243.88018493</v>
      </c>
      <c r="I681" s="3" t="n">
        <v>201325.7131500989</v>
      </c>
      <c r="J681" s="4" t="n">
        <v>0.0176597724808351</v>
      </c>
      <c r="K681">
        <f>IF(AND(I681&gt;0,J681&gt;=Assumptions!$B$4),1,0)</f>
        <v/>
      </c>
      <c r="L681" s="3">
        <f>I681*K681</f>
        <v/>
      </c>
      <c r="M681">
        <f>SUM($K$2:K681)</f>
        <v/>
      </c>
    </row>
    <row r="682">
      <c r="A682" t="inlineStr">
        <is>
          <t>330073</t>
        </is>
      </c>
      <c r="B682" t="inlineStr">
        <is>
          <t>United Memorial Medical Center</t>
        </is>
      </c>
      <c r="C682" t="inlineStr">
        <is>
          <t>NY</t>
        </is>
      </c>
      <c r="D682" t="inlineStr">
        <is>
          <t>Micropolitan</t>
        </is>
      </c>
      <c r="E682" s="5" t="n">
        <v>439</v>
      </c>
      <c r="F682" s="4" t="n">
        <v>0.6560364464692483</v>
      </c>
      <c r="G682" s="4" t="n">
        <v>0.7488069158508796</v>
      </c>
      <c r="H682" s="3" t="n">
        <v>6231687.345467378</v>
      </c>
      <c r="I682" s="3" t="n">
        <v>201208.1364023769</v>
      </c>
      <c r="J682" s="4" t="n">
        <v>0.0322879061878362</v>
      </c>
      <c r="K682">
        <f>IF(AND(I682&gt;0,J682&gt;=Assumptions!$B$4),1,0)</f>
        <v/>
      </c>
      <c r="L682" s="3">
        <f>I682*K682</f>
        <v/>
      </c>
      <c r="M682">
        <f>SUM($K$2:K682)</f>
        <v/>
      </c>
    </row>
    <row r="683">
      <c r="A683" t="inlineStr">
        <is>
          <t>440035</t>
        </is>
      </c>
      <c r="B683" t="inlineStr">
        <is>
          <t>Tennova Healthcare-Clarksville</t>
        </is>
      </c>
      <c r="C683" t="inlineStr">
        <is>
          <t>TN</t>
        </is>
      </c>
      <c r="D683" t="inlineStr">
        <is>
          <t>Metropolitan</t>
        </is>
      </c>
      <c r="E683" s="5" t="n">
        <v>1430</v>
      </c>
      <c r="F683" s="4" t="n">
        <v>0.6258741258741258</v>
      </c>
      <c r="G683" s="4" t="n">
        <v>0.6394965123698624</v>
      </c>
      <c r="H683" s="3" t="n">
        <v>20083398.38065832</v>
      </c>
      <c r="I683" s="3" t="n">
        <v>197076.3456482068</v>
      </c>
      <c r="J683" s="4" t="n">
        <v>0.009812898291058299</v>
      </c>
      <c r="K683">
        <f>IF(AND(I683&gt;0,J683&gt;=Assumptions!$B$4),1,0)</f>
        <v/>
      </c>
      <c r="L683" s="3">
        <f>I683*K683</f>
        <v/>
      </c>
      <c r="M683">
        <f>SUM($K$2:K683)</f>
        <v/>
      </c>
    </row>
    <row r="684">
      <c r="A684" t="inlineStr">
        <is>
          <t>490017</t>
        </is>
      </c>
      <c r="B684" t="inlineStr">
        <is>
          <t>Bon Secours Maryview Medical Center</t>
        </is>
      </c>
      <c r="C684" t="inlineStr">
        <is>
          <t>VA</t>
        </is>
      </c>
      <c r="D684" t="inlineStr">
        <is>
          <t>Metropolitan</t>
        </is>
      </c>
      <c r="E684" s="5" t="n">
        <v>1073</v>
      </c>
      <c r="F684" s="4" t="n">
        <v>0.6383970177073626</v>
      </c>
      <c r="G684" s="4" t="n">
        <v>0.6326980496412072</v>
      </c>
      <c r="H684" s="3" t="n">
        <v>16059942.92432633</v>
      </c>
      <c r="I684" s="3" t="n">
        <v>195284.230522275</v>
      </c>
      <c r="J684" s="4" t="n">
        <v>0.0121597088758313</v>
      </c>
      <c r="K684">
        <f>IF(AND(I684&gt;0,J684&gt;=Assumptions!$B$4),1,0)</f>
        <v/>
      </c>
      <c r="L684" s="3">
        <f>I684*K684</f>
        <v/>
      </c>
      <c r="M684">
        <f>SUM($K$2:K684)</f>
        <v/>
      </c>
    </row>
    <row r="685">
      <c r="A685" t="inlineStr">
        <is>
          <t>450015</t>
        </is>
      </c>
      <c r="B685" t="inlineStr">
        <is>
          <t>Parkland Health And Hospital System</t>
        </is>
      </c>
      <c r="C685" t="inlineStr">
        <is>
          <t>TX</t>
        </is>
      </c>
      <c r="D685" t="inlineStr">
        <is>
          <t>Metropolitan</t>
        </is>
      </c>
      <c r="E685" s="5" t="n">
        <v>950</v>
      </c>
      <c r="F685" s="4" t="n">
        <v>0.6915789473684211</v>
      </c>
      <c r="G685" s="4" t="n">
        <v>0.7136023394780889</v>
      </c>
      <c r="H685" s="3" t="n">
        <v>16105155.39578167</v>
      </c>
      <c r="I685" s="3" t="n">
        <v>194849.3889591135</v>
      </c>
      <c r="J685" s="4" t="n">
        <v>0.0120985724242157</v>
      </c>
      <c r="K685">
        <f>IF(AND(I685&gt;0,J685&gt;=Assumptions!$B$4),1,0)</f>
        <v/>
      </c>
      <c r="L685" s="3">
        <f>I685*K685</f>
        <v/>
      </c>
      <c r="M685">
        <f>SUM($K$2:K685)</f>
        <v/>
      </c>
    </row>
    <row r="686">
      <c r="A686" t="inlineStr">
        <is>
          <t>190027</t>
        </is>
      </c>
      <c r="B686" t="inlineStr">
        <is>
          <t>Christus Ochsner St Patrick Hospital</t>
        </is>
      </c>
      <c r="C686" t="inlineStr">
        <is>
          <t>LA</t>
        </is>
      </c>
      <c r="D686" t="inlineStr">
        <is>
          <t>Metropolitan</t>
        </is>
      </c>
      <c r="E686" s="5" t="n">
        <v>1150</v>
      </c>
      <c r="F686" s="4" t="n">
        <v>0.6165217391304347</v>
      </c>
      <c r="G686" s="4" t="n">
        <v>0.604936731177707</v>
      </c>
      <c r="H686" s="3" t="n">
        <v>18557243.92469418</v>
      </c>
      <c r="I686" s="3" t="n">
        <v>194796.8135402687</v>
      </c>
      <c r="J686" s="4" t="n">
        <v>0.0104970767389144</v>
      </c>
      <c r="K686">
        <f>IF(AND(I686&gt;0,J686&gt;=Assumptions!$B$4),1,0)</f>
        <v/>
      </c>
      <c r="L686" s="3">
        <f>I686*K686</f>
        <v/>
      </c>
      <c r="M686">
        <f>SUM($K$2:K686)</f>
        <v/>
      </c>
    </row>
    <row r="687">
      <c r="A687" t="inlineStr">
        <is>
          <t>030101</t>
        </is>
      </c>
      <c r="B687" t="inlineStr">
        <is>
          <t>Western Arizona Regional Medical Center</t>
        </is>
      </c>
      <c r="C687" t="inlineStr">
        <is>
          <t>AZ</t>
        </is>
      </c>
      <c r="D687" t="inlineStr">
        <is>
          <t>Micropolitan</t>
        </is>
      </c>
      <c r="E687" s="5" t="n">
        <v>635</v>
      </c>
      <c r="F687" s="4" t="n">
        <v>0.6362204724409449</v>
      </c>
      <c r="G687" s="4" t="n">
        <v>0.6803005267440793</v>
      </c>
      <c r="H687" s="3" t="n">
        <v>8739571.498261137</v>
      </c>
      <c r="I687" s="3" t="n">
        <v>193546.3703986723</v>
      </c>
      <c r="J687" s="4" t="n">
        <v>0.0221459794038164</v>
      </c>
      <c r="K687">
        <f>IF(AND(I687&gt;0,J687&gt;=Assumptions!$B$4),1,0)</f>
        <v/>
      </c>
      <c r="L687" s="3">
        <f>I687*K687</f>
        <v/>
      </c>
      <c r="M687">
        <f>SUM($K$2:K687)</f>
        <v/>
      </c>
    </row>
    <row r="688">
      <c r="A688" t="inlineStr">
        <is>
          <t>330014</t>
        </is>
      </c>
      <c r="B688" t="inlineStr">
        <is>
          <t>Jamaica Hospital Medical Center</t>
        </is>
      </c>
      <c r="C688" t="inlineStr">
        <is>
          <t>NY</t>
        </is>
      </c>
      <c r="D688" t="inlineStr">
        <is>
          <t>Metropolitan</t>
        </is>
      </c>
      <c r="E688" s="5" t="n">
        <v>856</v>
      </c>
      <c r="F688" s="4" t="n">
        <v>0.639018691588785</v>
      </c>
      <c r="G688" s="4" t="n">
        <v>0.672194152829427</v>
      </c>
      <c r="H688" s="3" t="n">
        <v>11773714.98827204</v>
      </c>
      <c r="I688" s="3" t="n">
        <v>192769.5908042789</v>
      </c>
      <c r="J688" s="4" t="n">
        <v>0.0163728772945751</v>
      </c>
      <c r="K688">
        <f>IF(AND(I688&gt;0,J688&gt;=Assumptions!$B$4),1,0)</f>
        <v/>
      </c>
      <c r="L688" s="3">
        <f>I688*K688</f>
        <v/>
      </c>
      <c r="M688">
        <f>SUM($K$2:K688)</f>
        <v/>
      </c>
    </row>
    <row r="689">
      <c r="A689" t="inlineStr">
        <is>
          <t>490140</t>
        </is>
      </c>
      <c r="B689" t="inlineStr">
        <is>
          <t>Stafford Hospital, Llc</t>
        </is>
      </c>
      <c r="C689" t="inlineStr">
        <is>
          <t>VA</t>
        </is>
      </c>
      <c r="D689" t="inlineStr">
        <is>
          <t>Metropolitan</t>
        </is>
      </c>
      <c r="E689" s="5" t="n">
        <v>566</v>
      </c>
      <c r="F689" s="4" t="n">
        <v>0.5954063604240283</v>
      </c>
      <c r="G689" s="4" t="n">
        <v>0.6367250780584622</v>
      </c>
      <c r="H689" s="3" t="n">
        <v>6793676.953124017</v>
      </c>
      <c r="I689" s="3" t="n">
        <v>190518.3226580127</v>
      </c>
      <c r="J689" s="4" t="n">
        <v>0.028043476893673</v>
      </c>
      <c r="K689">
        <f>IF(AND(I689&gt;0,J689&gt;=Assumptions!$B$4),1,0)</f>
        <v/>
      </c>
      <c r="L689" s="3">
        <f>I689*K689</f>
        <v/>
      </c>
      <c r="M689">
        <f>SUM($K$2:K689)</f>
        <v/>
      </c>
    </row>
    <row r="690">
      <c r="A690" t="inlineStr">
        <is>
          <t>330019</t>
        </is>
      </c>
      <c r="B690" t="inlineStr">
        <is>
          <t>New York Community Hospital Of Brooklyn, Inc.</t>
        </is>
      </c>
      <c r="C690" t="inlineStr">
        <is>
          <t>NY</t>
        </is>
      </c>
      <c r="D690" t="inlineStr">
        <is>
          <t>Metropolitan</t>
        </is>
      </c>
      <c r="E690" s="5" t="n">
        <v>2009</v>
      </c>
      <c r="F690" s="4" t="n">
        <v>0.5858636137381782</v>
      </c>
      <c r="G690" s="4" t="n">
        <v>0.6160271356158579</v>
      </c>
      <c r="H690" s="3" t="n">
        <v>26580188.22801675</v>
      </c>
      <c r="I690" s="3" t="n">
        <v>189196.1988467016</v>
      </c>
      <c r="J690" s="4" t="n">
        <v>0.0071179405211013</v>
      </c>
      <c r="K690">
        <f>IF(AND(I690&gt;0,J690&gt;=Assumptions!$B$4),1,0)</f>
        <v/>
      </c>
      <c r="L690" s="3">
        <f>I690*K690</f>
        <v/>
      </c>
      <c r="M690">
        <f>SUM($K$2:K690)</f>
        <v/>
      </c>
    </row>
    <row r="691">
      <c r="A691" t="inlineStr">
        <is>
          <t>450011</t>
        </is>
      </c>
      <c r="B691" t="inlineStr">
        <is>
          <t>Chi St Joseph Health Regional Hospital</t>
        </is>
      </c>
      <c r="C691" t="inlineStr">
        <is>
          <t>TX</t>
        </is>
      </c>
      <c r="D691" t="inlineStr">
        <is>
          <t>Metropolitan</t>
        </is>
      </c>
      <c r="E691" s="5" t="n">
        <v>2708</v>
      </c>
      <c r="F691" s="4" t="n">
        <v>0.6211225997045791</v>
      </c>
      <c r="G691" s="4" t="n">
        <v>0.6059607542773477</v>
      </c>
      <c r="H691" s="3" t="n">
        <v>41240003.68214832</v>
      </c>
      <c r="I691" s="3" t="n">
        <v>187876.381521456</v>
      </c>
      <c r="J691" s="4" t="n">
        <v>0.0045556829473025</v>
      </c>
      <c r="K691">
        <f>IF(AND(I691&gt;0,J691&gt;=Assumptions!$B$4),1,0)</f>
        <v/>
      </c>
      <c r="L691" s="3">
        <f>I691*K691</f>
        <v/>
      </c>
      <c r="M691">
        <f>SUM($K$2:K691)</f>
        <v/>
      </c>
    </row>
    <row r="692">
      <c r="A692" t="inlineStr">
        <is>
          <t>490037</t>
        </is>
      </c>
      <c r="B692" t="inlineStr">
        <is>
          <t>Riverside Shore Memorial Hospital</t>
        </is>
      </c>
      <c r="C692" t="inlineStr">
        <is>
          <t>VA</t>
        </is>
      </c>
      <c r="D692" t="inlineStr">
        <is>
          <t>Rural</t>
        </is>
      </c>
      <c r="E692" s="5" t="n">
        <v>342</v>
      </c>
      <c r="F692" s="4" t="n">
        <v>0.6783625730994152</v>
      </c>
      <c r="G692" s="4" t="n">
        <v>0.7576995873151204</v>
      </c>
      <c r="H692" s="3" t="n">
        <v>4555255.005283918</v>
      </c>
      <c r="I692" s="3" t="n">
        <v>187769.3179804357</v>
      </c>
      <c r="J692" s="4" t="n">
        <v>0.0412203746579786</v>
      </c>
      <c r="K692">
        <f>IF(AND(I692&gt;0,J692&gt;=Assumptions!$B$4),1,0)</f>
        <v/>
      </c>
      <c r="L692" s="3">
        <f>I692*K692</f>
        <v/>
      </c>
      <c r="M692">
        <f>SUM($K$2:K692)</f>
        <v/>
      </c>
    </row>
    <row r="693">
      <c r="A693" t="inlineStr">
        <is>
          <t>150100</t>
        </is>
      </c>
      <c r="B693" t="inlineStr">
        <is>
          <t>Ascension St Vincent Evansville</t>
        </is>
      </c>
      <c r="C693" t="inlineStr">
        <is>
          <t>IN</t>
        </is>
      </c>
      <c r="D693" t="inlineStr">
        <is>
          <t>Metropolitan</t>
        </is>
      </c>
      <c r="E693" s="5" t="n">
        <v>1932</v>
      </c>
      <c r="F693" s="4" t="n">
        <v>0.5212215320910973</v>
      </c>
      <c r="G693" s="4" t="n">
        <v>0.5360829552309307</v>
      </c>
      <c r="H693" s="3" t="n">
        <v>34351759.64845908</v>
      </c>
      <c r="I693" s="3" t="n">
        <v>184393.0526200086</v>
      </c>
      <c r="J693" s="4" t="n">
        <v>0.0053677906024904</v>
      </c>
      <c r="K693">
        <f>IF(AND(I693&gt;0,J693&gt;=Assumptions!$B$4),1,0)</f>
        <v/>
      </c>
      <c r="L693" s="3">
        <f>I693*K693</f>
        <v/>
      </c>
      <c r="M693">
        <f>SUM($K$2:K693)</f>
        <v/>
      </c>
    </row>
    <row r="694">
      <c r="A694" t="inlineStr">
        <is>
          <t>330047</t>
        </is>
      </c>
      <c r="B694" t="inlineStr">
        <is>
          <t>St Mary's Healthcare</t>
        </is>
      </c>
      <c r="C694" t="inlineStr">
        <is>
          <t>NY</t>
        </is>
      </c>
      <c r="D694" t="inlineStr">
        <is>
          <t>Metropolitan</t>
        </is>
      </c>
      <c r="E694" s="5" t="n">
        <v>414</v>
      </c>
      <c r="F694" s="4" t="n">
        <v>0.6642512077294686</v>
      </c>
      <c r="G694" s="4" t="n">
        <v>0.7487926820908462</v>
      </c>
      <c r="H694" s="3" t="n">
        <v>5344694.812221034</v>
      </c>
      <c r="I694" s="3" t="n">
        <v>184247.4818443684</v>
      </c>
      <c r="J694" s="4" t="n">
        <v>0.0344729658694586</v>
      </c>
      <c r="K694">
        <f>IF(AND(I694&gt;0,J694&gt;=Assumptions!$B$4),1,0)</f>
        <v/>
      </c>
      <c r="L694" s="3">
        <f>I694*K694</f>
        <v/>
      </c>
      <c r="M694">
        <f>SUM($K$2:K694)</f>
        <v/>
      </c>
    </row>
    <row r="695">
      <c r="A695" t="inlineStr">
        <is>
          <t>140239</t>
        </is>
      </c>
      <c r="B695" t="inlineStr">
        <is>
          <t>Javon Bea Hospital</t>
        </is>
      </c>
      <c r="C695" t="inlineStr">
        <is>
          <t>IL</t>
        </is>
      </c>
      <c r="D695" t="inlineStr">
        <is>
          <t>Metropolitan</t>
        </is>
      </c>
      <c r="E695" s="5" t="n">
        <v>930</v>
      </c>
      <c r="F695" s="4" t="n">
        <v>0.5806451612903226</v>
      </c>
      <c r="G695" s="4" t="n">
        <v>0.614348714344216</v>
      </c>
      <c r="H695" s="3" t="n">
        <v>13697672.73175895</v>
      </c>
      <c r="I695" s="3" t="n">
        <v>183798.6027676314</v>
      </c>
      <c r="J695" s="4" t="n">
        <v>0.0134182358103418</v>
      </c>
      <c r="K695">
        <f>IF(AND(I695&gt;0,J695&gt;=Assumptions!$B$4),1,0)</f>
        <v/>
      </c>
      <c r="L695" s="3">
        <f>I695*K695</f>
        <v/>
      </c>
      <c r="M695">
        <f>SUM($K$2:K695)</f>
        <v/>
      </c>
    </row>
    <row r="696">
      <c r="A696" t="inlineStr">
        <is>
          <t>190098</t>
        </is>
      </c>
      <c r="B696" t="inlineStr">
        <is>
          <t>Ochsner Lsu Health Shreveport</t>
        </is>
      </c>
      <c r="C696" t="inlineStr">
        <is>
          <t>LA</t>
        </is>
      </c>
      <c r="D696" t="inlineStr">
        <is>
          <t>Metropolitan</t>
        </is>
      </c>
      <c r="E696" s="5" t="n">
        <v>655</v>
      </c>
      <c r="F696" s="4" t="n">
        <v>0.5328244274809161</v>
      </c>
      <c r="G696" s="4" t="n">
        <v>0.5906235153767838</v>
      </c>
      <c r="H696" s="3" t="n">
        <v>13405377.31459728</v>
      </c>
      <c r="I696" s="3" t="n">
        <v>183588.6478956696</v>
      </c>
      <c r="J696" s="4" t="n">
        <v>0.0136951496095344</v>
      </c>
      <c r="K696">
        <f>IF(AND(I696&gt;0,J696&gt;=Assumptions!$B$4),1,0)</f>
        <v/>
      </c>
      <c r="L696" s="3">
        <f>I696*K696</f>
        <v/>
      </c>
      <c r="M696">
        <f>SUM($K$2:K696)</f>
        <v/>
      </c>
    </row>
    <row r="697">
      <c r="A697" t="inlineStr">
        <is>
          <t>050014</t>
        </is>
      </c>
      <c r="B697" t="inlineStr">
        <is>
          <t>Sutter Amador Hospital</t>
        </is>
      </c>
      <c r="C697" t="inlineStr">
        <is>
          <t>CA</t>
        </is>
      </c>
      <c r="D697" t="inlineStr">
        <is>
          <t>Small town</t>
        </is>
      </c>
      <c r="E697" s="5" t="n">
        <v>564</v>
      </c>
      <c r="F697" s="4" t="n">
        <v>0.6453900709219859</v>
      </c>
      <c r="G697" s="4" t="n">
        <v>0.6789168699025837</v>
      </c>
      <c r="H697" s="3" t="n">
        <v>7932267.583385188</v>
      </c>
      <c r="I697" s="3" t="n">
        <v>183504.0156869116</v>
      </c>
      <c r="J697" s="4" t="n">
        <v>0.0231338660424512</v>
      </c>
      <c r="K697">
        <f>IF(AND(I697&gt;0,J697&gt;=Assumptions!$B$4),1,0)</f>
        <v/>
      </c>
      <c r="L697" s="3">
        <f>I697*K697</f>
        <v/>
      </c>
      <c r="M697">
        <f>SUM($K$2:K697)</f>
        <v/>
      </c>
    </row>
    <row r="698">
      <c r="A698" t="inlineStr">
        <is>
          <t>100291</t>
        </is>
      </c>
      <c r="B698" t="inlineStr">
        <is>
          <t>Melbourne Regional Medical Center</t>
        </is>
      </c>
      <c r="C698" t="inlineStr">
        <is>
          <t>FL</t>
        </is>
      </c>
      <c r="D698" t="inlineStr">
        <is>
          <t>Metropolitan</t>
        </is>
      </c>
      <c r="E698" s="5" t="n">
        <v>484</v>
      </c>
      <c r="F698" s="4" t="n">
        <v>0.4256198347107438</v>
      </c>
      <c r="G698" s="4" t="n">
        <v>0.4508845950840878</v>
      </c>
      <c r="H698" s="3" t="n">
        <v>8908230.364712007</v>
      </c>
      <c r="I698" s="3" t="n">
        <v>183281.56124321</v>
      </c>
      <c r="J698" s="4" t="n">
        <v>0.0205744074568659</v>
      </c>
      <c r="K698">
        <f>IF(AND(I698&gt;0,J698&gt;=Assumptions!$B$4),1,0)</f>
        <v/>
      </c>
      <c r="L698" s="3">
        <f>I698*K698</f>
        <v/>
      </c>
      <c r="M698">
        <f>SUM($K$2:K698)</f>
        <v/>
      </c>
    </row>
    <row r="699">
      <c r="A699" t="inlineStr">
        <is>
          <t>310028</t>
        </is>
      </c>
      <c r="B699" t="inlineStr">
        <is>
          <t>Newton Medical Center</t>
        </is>
      </c>
      <c r="C699" t="inlineStr">
        <is>
          <t>NJ</t>
        </is>
      </c>
      <c r="D699" t="inlineStr">
        <is>
          <t>Metropolitan</t>
        </is>
      </c>
      <c r="E699" s="5" t="n">
        <v>2104</v>
      </c>
      <c r="F699" s="4" t="n">
        <v>0.5826996197718631</v>
      </c>
      <c r="G699" s="4" t="n">
        <v>0.6148343566303524</v>
      </c>
      <c r="H699" s="3" t="n">
        <v>26861647.81951828</v>
      </c>
      <c r="I699" s="3" t="n">
        <v>182825.5424913019</v>
      </c>
      <c r="J699" s="4" t="n">
        <v>0.0068061923721022</v>
      </c>
      <c r="K699">
        <f>IF(AND(I699&gt;0,J699&gt;=Assumptions!$B$4),1,0)</f>
        <v/>
      </c>
      <c r="L699" s="3">
        <f>I699*K699</f>
        <v/>
      </c>
      <c r="M699">
        <f>SUM($K$2:K699)</f>
        <v/>
      </c>
    </row>
    <row r="700">
      <c r="A700" t="inlineStr">
        <is>
          <t>100063</t>
        </is>
      </c>
      <c r="B700" t="inlineStr">
        <is>
          <t>Morton Plant North Bay Hospital</t>
        </is>
      </c>
      <c r="C700" t="inlineStr">
        <is>
          <t>FL</t>
        </is>
      </c>
      <c r="D700" t="inlineStr">
        <is>
          <t>Metropolitan</t>
        </is>
      </c>
      <c r="E700" s="5" t="n">
        <v>1107</v>
      </c>
      <c r="F700" s="4" t="n">
        <v>0.6088527551942186</v>
      </c>
      <c r="G700" s="4" t="n">
        <v>0.6551078838965488</v>
      </c>
      <c r="H700" s="3" t="n">
        <v>14391217.44355353</v>
      </c>
      <c r="I700" s="3" t="n">
        <v>181357.9542930182</v>
      </c>
      <c r="J700" s="4" t="n">
        <v>0.0126019883310328</v>
      </c>
      <c r="K700">
        <f>IF(AND(I700&gt;0,J700&gt;=Assumptions!$B$4),1,0)</f>
        <v/>
      </c>
      <c r="L700" s="3">
        <f>I700*K700</f>
        <v/>
      </c>
      <c r="M700">
        <f>SUM($K$2:K700)</f>
        <v/>
      </c>
    </row>
    <row r="701">
      <c r="A701" t="inlineStr">
        <is>
          <t>370022</t>
        </is>
      </c>
      <c r="B701" t="inlineStr">
        <is>
          <t>Jackson County Memorial Hospital Authority</t>
        </is>
      </c>
      <c r="C701" t="inlineStr">
        <is>
          <t>OK</t>
        </is>
      </c>
      <c r="D701" t="inlineStr">
        <is>
          <t>Micropolitan</t>
        </is>
      </c>
      <c r="E701" s="5" t="n">
        <v>310</v>
      </c>
      <c r="F701" s="4" t="n">
        <v>0.5225806451612903</v>
      </c>
      <c r="G701" s="4" t="n">
        <v>0.625629377806091</v>
      </c>
      <c r="H701" s="3" t="n">
        <v>4506861.169801679</v>
      </c>
      <c r="I701" s="3" t="n">
        <v>180800.3562246012</v>
      </c>
      <c r="J701" s="4" t="n">
        <v>0.0401166908437423</v>
      </c>
      <c r="K701">
        <f>IF(AND(I701&gt;0,J701&gt;=Assumptions!$B$4),1,0)</f>
        <v/>
      </c>
      <c r="L701" s="3">
        <f>I701*K701</f>
        <v/>
      </c>
      <c r="M701">
        <f>SUM($K$2:K701)</f>
        <v/>
      </c>
    </row>
    <row r="702">
      <c r="A702" t="inlineStr">
        <is>
          <t>330102</t>
        </is>
      </c>
      <c r="B702" t="inlineStr">
        <is>
          <t>Kenmore Mercy Hospital</t>
        </is>
      </c>
      <c r="C702" t="inlineStr">
        <is>
          <t>NY</t>
        </is>
      </c>
      <c r="D702" t="inlineStr">
        <is>
          <t>Metropolitan</t>
        </is>
      </c>
      <c r="E702" s="5" t="n">
        <v>518</v>
      </c>
      <c r="F702" s="4" t="n">
        <v>0.5328185328185329</v>
      </c>
      <c r="G702" s="4" t="n">
        <v>0.5791289557047445</v>
      </c>
      <c r="H702" s="3" t="n">
        <v>7946860.530241316</v>
      </c>
      <c r="I702" s="3" t="n">
        <v>180710.5642404621</v>
      </c>
      <c r="J702" s="4" t="n">
        <v>0.0227398686000312</v>
      </c>
      <c r="K702">
        <f>IF(AND(I702&gt;0,J702&gt;=Assumptions!$B$4),1,0)</f>
        <v/>
      </c>
      <c r="L702" s="3">
        <f>I702*K702</f>
        <v/>
      </c>
      <c r="M702">
        <f>SUM($K$2:K702)</f>
        <v/>
      </c>
    </row>
    <row r="703">
      <c r="A703" t="inlineStr">
        <is>
          <t>360001</t>
        </is>
      </c>
      <c r="B703" t="inlineStr">
        <is>
          <t>Mercy Health-Anderson Hospital</t>
        </is>
      </c>
      <c r="C703" t="inlineStr">
        <is>
          <t>OH</t>
        </is>
      </c>
      <c r="D703" t="inlineStr">
        <is>
          <t>Metropolitan</t>
        </is>
      </c>
      <c r="E703" s="5" t="n">
        <v>1622</v>
      </c>
      <c r="F703" s="4" t="n">
        <v>0.55980271270037</v>
      </c>
      <c r="G703" s="4" t="n">
        <v>0.5903305003656882</v>
      </c>
      <c r="H703" s="3" t="n">
        <v>23298983.21799929</v>
      </c>
      <c r="I703" s="3" t="n">
        <v>180572.1755274273</v>
      </c>
      <c r="J703" s="4" t="n">
        <v>0.0077502169874919</v>
      </c>
      <c r="K703">
        <f>IF(AND(I703&gt;0,J703&gt;=Assumptions!$B$4),1,0)</f>
        <v/>
      </c>
      <c r="L703" s="3">
        <f>I703*K703</f>
        <v/>
      </c>
      <c r="M703">
        <f>SUM($K$2:K703)</f>
        <v/>
      </c>
    </row>
    <row r="704">
      <c r="A704" t="inlineStr">
        <is>
          <t>050078</t>
        </is>
      </c>
      <c r="B704" t="inlineStr">
        <is>
          <t>Providence Little Co Of Mary Med Ctr San Pedro</t>
        </is>
      </c>
      <c r="C704" t="inlineStr">
        <is>
          <t>CA</t>
        </is>
      </c>
      <c r="D704" t="inlineStr">
        <is>
          <t>Metropolitan</t>
        </is>
      </c>
      <c r="E704" s="5" t="n">
        <v>555</v>
      </c>
      <c r="F704" s="4" t="n">
        <v>0.5657657657657658</v>
      </c>
      <c r="G704" s="4" t="n">
        <v>0.5944826248074171</v>
      </c>
      <c r="H704" s="3" t="n">
        <v>7465595.345210974</v>
      </c>
      <c r="I704" s="3" t="n">
        <v>178515.8836096656</v>
      </c>
      <c r="J704" s="4" t="n">
        <v>0.0239118081485865</v>
      </c>
      <c r="K704">
        <f>IF(AND(I704&gt;0,J704&gt;=Assumptions!$B$4),1,0)</f>
        <v/>
      </c>
      <c r="L704" s="3">
        <f>I704*K704</f>
        <v/>
      </c>
      <c r="M704">
        <f>SUM($K$2:K704)</f>
        <v/>
      </c>
    </row>
    <row r="705">
      <c r="A705" t="inlineStr">
        <is>
          <t>070036</t>
        </is>
      </c>
      <c r="B705" t="inlineStr">
        <is>
          <t>John Dempsey Hospital</t>
        </is>
      </c>
      <c r="C705" t="inlineStr">
        <is>
          <t>CT</t>
        </is>
      </c>
      <c r="D705" t="inlineStr">
        <is>
          <t>Metropolitan</t>
        </is>
      </c>
      <c r="E705" s="5" t="n">
        <v>1292</v>
      </c>
      <c r="F705" s="4" t="n">
        <v>0.6160990712074303</v>
      </c>
      <c r="G705" s="4" t="n">
        <v>0.6225334313830563</v>
      </c>
      <c r="H705" s="3" t="n">
        <v>20092326.39152401</v>
      </c>
      <c r="I705" s="3" t="n">
        <v>178165.0553186834</v>
      </c>
      <c r="J705" s="4" t="n">
        <v>0.008867318390459801</v>
      </c>
      <c r="K705">
        <f>IF(AND(I705&gt;0,J705&gt;=Assumptions!$B$4),1,0)</f>
        <v/>
      </c>
      <c r="L705" s="3">
        <f>I705*K705</f>
        <v/>
      </c>
      <c r="M705">
        <f>SUM($K$2:K705)</f>
        <v/>
      </c>
    </row>
    <row r="706">
      <c r="A706" t="inlineStr">
        <is>
          <t>370014</t>
        </is>
      </c>
      <c r="B706" t="inlineStr">
        <is>
          <t>Alliancehealth Durant</t>
        </is>
      </c>
      <c r="C706" t="inlineStr">
        <is>
          <t>OK</t>
        </is>
      </c>
      <c r="D706" t="inlineStr">
        <is>
          <t>Micropolitan</t>
        </is>
      </c>
      <c r="E706" s="5" t="n">
        <v>1313</v>
      </c>
      <c r="F706" s="4" t="n">
        <v>0.5712109672505712</v>
      </c>
      <c r="G706" s="4" t="n">
        <v>0.5989559178409546</v>
      </c>
      <c r="H706" s="3" t="n">
        <v>15400156.18458231</v>
      </c>
      <c r="I706" s="3" t="n">
        <v>176911.6297992542</v>
      </c>
      <c r="J706" s="4" t="n">
        <v>0.0114876516626738</v>
      </c>
      <c r="K706">
        <f>IF(AND(I706&gt;0,J706&gt;=Assumptions!$B$4),1,0)</f>
        <v/>
      </c>
      <c r="L706" s="3">
        <f>I706*K706</f>
        <v/>
      </c>
      <c r="M706">
        <f>SUM($K$2:K706)</f>
        <v/>
      </c>
    </row>
    <row r="707">
      <c r="A707" t="inlineStr">
        <is>
          <t>490130</t>
        </is>
      </c>
      <c r="B707" t="inlineStr">
        <is>
          <t>Riverside Walter Reed Hospital</t>
        </is>
      </c>
      <c r="C707" t="inlineStr">
        <is>
          <t>VA</t>
        </is>
      </c>
      <c r="D707" t="inlineStr">
        <is>
          <t>Metropolitan</t>
        </is>
      </c>
      <c r="E707" s="5" t="n">
        <v>469</v>
      </c>
      <c r="F707" s="4" t="n">
        <v>0.6481876332622601</v>
      </c>
      <c r="G707" s="4" t="n">
        <v>0.7126026688568827</v>
      </c>
      <c r="H707" s="3" t="n">
        <v>6224333.060954167</v>
      </c>
      <c r="I707" s="3" t="n">
        <v>176910.5871760081</v>
      </c>
      <c r="J707" s="4" t="n">
        <v>0.0284224165775744</v>
      </c>
      <c r="K707">
        <f>IF(AND(I707&gt;0,J707&gt;=Assumptions!$B$4),1,0)</f>
        <v/>
      </c>
      <c r="L707" s="3">
        <f>I707*K707</f>
        <v/>
      </c>
      <c r="M707">
        <f>SUM($K$2:K707)</f>
        <v/>
      </c>
    </row>
    <row r="708">
      <c r="A708" t="inlineStr">
        <is>
          <t>250040</t>
        </is>
      </c>
      <c r="B708" t="inlineStr">
        <is>
          <t>Singing River Health System</t>
        </is>
      </c>
      <c r="C708" t="inlineStr">
        <is>
          <t>MS</t>
        </is>
      </c>
      <c r="D708" t="inlineStr">
        <is>
          <t>Metropolitan</t>
        </is>
      </c>
      <c r="E708" s="5" t="n">
        <v>2032</v>
      </c>
      <c r="F708" s="4" t="n">
        <v>0.5442913385826772</v>
      </c>
      <c r="G708" s="4" t="n">
        <v>0.5443427972922131</v>
      </c>
      <c r="H708" s="3" t="n">
        <v>33261872.08348242</v>
      </c>
      <c r="I708" s="3" t="n">
        <v>176652.2104930729</v>
      </c>
      <c r="J708" s="4" t="n">
        <v>0.0053109521331121</v>
      </c>
      <c r="K708">
        <f>IF(AND(I708&gt;0,J708&gt;=Assumptions!$B$4),1,0)</f>
        <v/>
      </c>
      <c r="L708" s="3">
        <f>I708*K708</f>
        <v/>
      </c>
      <c r="M708">
        <f>SUM($K$2:K708)</f>
        <v/>
      </c>
    </row>
    <row r="709">
      <c r="A709" t="inlineStr">
        <is>
          <t>390336</t>
        </is>
      </c>
      <c r="B709" t="inlineStr">
        <is>
          <t>Penn State Health Hampden Medical Center</t>
        </is>
      </c>
      <c r="C709" t="inlineStr">
        <is>
          <t>PA</t>
        </is>
      </c>
      <c r="D709" t="inlineStr">
        <is>
          <t>Metropolitan</t>
        </is>
      </c>
      <c r="E709" s="5" t="n">
        <v>424</v>
      </c>
      <c r="F709" s="4" t="n">
        <v>0.5471698113207547</v>
      </c>
      <c r="G709" s="4" t="n">
        <v>0.6490612782658397</v>
      </c>
      <c r="H709" s="3" t="n">
        <v>5104169.593050061</v>
      </c>
      <c r="I709" s="3" t="n">
        <v>175707.8965772344</v>
      </c>
      <c r="J709" s="4" t="n">
        <v>0.0344243844907664</v>
      </c>
      <c r="K709">
        <f>IF(AND(I709&gt;0,J709&gt;=Assumptions!$B$4),1,0)</f>
        <v/>
      </c>
      <c r="L709" s="3">
        <f>I709*K709</f>
        <v/>
      </c>
      <c r="M709">
        <f>SUM($K$2:K709)</f>
        <v/>
      </c>
    </row>
    <row r="710">
      <c r="A710" t="inlineStr">
        <is>
          <t>360016</t>
        </is>
      </c>
      <c r="B710" t="inlineStr">
        <is>
          <t>The Jewish Hospital-Mercy Health</t>
        </is>
      </c>
      <c r="C710" t="inlineStr">
        <is>
          <t>OH</t>
        </is>
      </c>
      <c r="D710" t="inlineStr">
        <is>
          <t>Metropolitan</t>
        </is>
      </c>
      <c r="E710" s="5" t="n">
        <v>1561</v>
      </c>
      <c r="F710" s="4" t="n">
        <v>0.5707879564381807</v>
      </c>
      <c r="G710" s="4" t="n">
        <v>0.5795713175778193</v>
      </c>
      <c r="H710" s="3" t="n">
        <v>25430981.97787948</v>
      </c>
      <c r="I710" s="3" t="n">
        <v>175264.5059637204</v>
      </c>
      <c r="J710" s="4" t="n">
        <v>0.0068917710734162</v>
      </c>
      <c r="K710">
        <f>IF(AND(I710&gt;0,J710&gt;=Assumptions!$B$4),1,0)</f>
        <v/>
      </c>
      <c r="L710" s="3">
        <f>I710*K710</f>
        <v/>
      </c>
      <c r="M710">
        <f>SUM($K$2:K710)</f>
        <v/>
      </c>
    </row>
    <row r="711">
      <c r="A711" t="inlineStr">
        <is>
          <t>390009</t>
        </is>
      </c>
      <c r="B711" t="inlineStr">
        <is>
          <t>Saint Vincent Hospital</t>
        </is>
      </c>
      <c r="C711" t="inlineStr">
        <is>
          <t>PA</t>
        </is>
      </c>
      <c r="D711" t="inlineStr">
        <is>
          <t>Metropolitan</t>
        </is>
      </c>
      <c r="E711" s="5" t="n">
        <v>1608</v>
      </c>
      <c r="F711" s="4" t="n">
        <v>0.5845771144278606</v>
      </c>
      <c r="G711" s="4" t="n">
        <v>0.6031079529351258</v>
      </c>
      <c r="H711" s="3" t="n">
        <v>26110427.81330678</v>
      </c>
      <c r="I711" s="3" t="n">
        <v>175100.7234908044</v>
      </c>
      <c r="J711" s="4" t="n">
        <v>0.0067061606474929</v>
      </c>
      <c r="K711">
        <f>IF(AND(I711&gt;0,J711&gt;=Assumptions!$B$4),1,0)</f>
        <v/>
      </c>
      <c r="L711" s="3">
        <f>I711*K711</f>
        <v/>
      </c>
      <c r="M711">
        <f>SUM($K$2:K711)</f>
        <v/>
      </c>
    </row>
    <row r="712">
      <c r="A712" t="inlineStr">
        <is>
          <t>340020</t>
        </is>
      </c>
      <c r="B712" t="inlineStr">
        <is>
          <t>Central Carolina Hospital</t>
        </is>
      </c>
      <c r="C712" t="inlineStr">
        <is>
          <t>NC</t>
        </is>
      </c>
      <c r="D712" t="inlineStr">
        <is>
          <t>Micropolitan</t>
        </is>
      </c>
      <c r="E712" s="5" t="n">
        <v>365</v>
      </c>
      <c r="F712" s="4" t="n">
        <v>0.6465753424657534</v>
      </c>
      <c r="G712" s="4" t="n">
        <v>0.7366902702597751</v>
      </c>
      <c r="H712" s="3" t="n">
        <v>4618581.551306543</v>
      </c>
      <c r="I712" s="3" t="n">
        <v>172237.5457301512</v>
      </c>
      <c r="J712" s="4" t="n">
        <v>0.0372923036687372</v>
      </c>
      <c r="K712">
        <f>IF(AND(I712&gt;0,J712&gt;=Assumptions!$B$4),1,0)</f>
        <v/>
      </c>
      <c r="L712" s="3">
        <f>I712*K712</f>
        <v/>
      </c>
      <c r="M712">
        <f>SUM($K$2:K712)</f>
        <v/>
      </c>
    </row>
    <row r="713">
      <c r="A713" t="inlineStr">
        <is>
          <t>260096</t>
        </is>
      </c>
      <c r="B713" t="inlineStr">
        <is>
          <t>North Kansas City Hospital</t>
        </is>
      </c>
      <c r="C713" t="inlineStr">
        <is>
          <t>MO</t>
        </is>
      </c>
      <c r="D713" t="inlineStr">
        <is>
          <t>Metropolitan</t>
        </is>
      </c>
      <c r="E713" s="5" t="n">
        <v>3530</v>
      </c>
      <c r="F713" s="4" t="n">
        <v>0.5277620396600566</v>
      </c>
      <c r="G713" s="4" t="n">
        <v>0.5202002446097724</v>
      </c>
      <c r="H713" s="3" t="n">
        <v>59606789.03941333</v>
      </c>
      <c r="I713" s="3" t="n">
        <v>169628.7681349963</v>
      </c>
      <c r="J713" s="4" t="n">
        <v>0.002845796105924</v>
      </c>
      <c r="K713">
        <f>IF(AND(I713&gt;0,J713&gt;=Assumptions!$B$4),1,0)</f>
        <v/>
      </c>
      <c r="L713" s="3">
        <f>I713*K713</f>
        <v/>
      </c>
      <c r="M713">
        <f>SUM($K$2:K713)</f>
        <v/>
      </c>
    </row>
    <row r="714">
      <c r="A714" t="inlineStr">
        <is>
          <t>530014</t>
        </is>
      </c>
      <c r="B714" t="inlineStr">
        <is>
          <t>Cheyenne Regional Medical Center</t>
        </is>
      </c>
      <c r="C714" t="inlineStr">
        <is>
          <t>WY</t>
        </is>
      </c>
      <c r="D714" t="inlineStr">
        <is>
          <t>Metropolitan</t>
        </is>
      </c>
      <c r="E714" s="5" t="n">
        <v>1873</v>
      </c>
      <c r="F714" s="4" t="n">
        <v>0.6497597437266418</v>
      </c>
      <c r="G714" s="4" t="n">
        <v>0.6339996557846773</v>
      </c>
      <c r="H714" s="3" t="n">
        <v>27384654.53552205</v>
      </c>
      <c r="I714" s="3" t="n">
        <v>169149.139762681</v>
      </c>
      <c r="J714" s="4" t="n">
        <v>0.0061767855987837</v>
      </c>
      <c r="K714">
        <f>IF(AND(I714&gt;0,J714&gt;=Assumptions!$B$4),1,0)</f>
        <v/>
      </c>
      <c r="L714" s="3">
        <f>I714*K714</f>
        <v/>
      </c>
      <c r="M714">
        <f>SUM($K$2:K714)</f>
        <v/>
      </c>
    </row>
    <row r="715">
      <c r="A715" t="inlineStr">
        <is>
          <t>430005</t>
        </is>
      </c>
      <c r="B715" t="inlineStr">
        <is>
          <t>Prairie Lakes Hospital</t>
        </is>
      </c>
      <c r="C715" t="inlineStr">
        <is>
          <t>SD</t>
        </is>
      </c>
      <c r="D715" t="inlineStr">
        <is>
          <t>Micropolitan</t>
        </is>
      </c>
      <c r="E715" s="5" t="n">
        <v>427</v>
      </c>
      <c r="F715" s="4" t="n">
        <v>0.5292740046838408</v>
      </c>
      <c r="G715" s="4" t="n">
        <v>0.5364454037226505</v>
      </c>
      <c r="H715" s="3" t="n">
        <v>5737943.556835526</v>
      </c>
      <c r="I715" s="3" t="n">
        <v>168845.0398693997</v>
      </c>
      <c r="J715" s="4" t="n">
        <v>0.0294260545083712</v>
      </c>
      <c r="K715">
        <f>IF(AND(I715&gt;0,J715&gt;=Assumptions!$B$4),1,0)</f>
        <v/>
      </c>
      <c r="L715" s="3">
        <f>I715*K715</f>
        <v/>
      </c>
      <c r="M715">
        <f>SUM($K$2:K715)</f>
        <v/>
      </c>
    </row>
    <row r="716">
      <c r="A716" t="inlineStr">
        <is>
          <t>380071</t>
        </is>
      </c>
      <c r="B716" t="inlineStr">
        <is>
          <t>Willamette Valley Medical Center</t>
        </is>
      </c>
      <c r="C716" t="inlineStr">
        <is>
          <t>OR</t>
        </is>
      </c>
      <c r="D716" t="inlineStr">
        <is>
          <t>Micropolitan</t>
        </is>
      </c>
      <c r="E716" s="5" t="n">
        <v>326</v>
      </c>
      <c r="F716" s="4" t="n">
        <v>0.6779141104294478</v>
      </c>
      <c r="G716" s="4" t="n">
        <v>0.7207024502873088</v>
      </c>
      <c r="H716" s="3" t="n">
        <v>4418756.805776361</v>
      </c>
      <c r="I716" s="3" t="n">
        <v>166758.905203105</v>
      </c>
      <c r="J716" s="4" t="n">
        <v>0.0377388737450116</v>
      </c>
      <c r="K716">
        <f>IF(AND(I716&gt;0,J716&gt;=Assumptions!$B$4),1,0)</f>
        <v/>
      </c>
      <c r="L716" s="3">
        <f>I716*K716</f>
        <v/>
      </c>
      <c r="M716">
        <f>SUM($K$2:K716)</f>
        <v/>
      </c>
    </row>
    <row r="717">
      <c r="A717" t="inlineStr">
        <is>
          <t>060023</t>
        </is>
      </c>
      <c r="B717" t="inlineStr">
        <is>
          <t>St Marys Medical Center</t>
        </is>
      </c>
      <c r="C717" t="inlineStr">
        <is>
          <t>CO</t>
        </is>
      </c>
      <c r="D717" t="inlineStr">
        <is>
          <t>Metropolitan</t>
        </is>
      </c>
      <c r="E717" s="5" t="n">
        <v>1475</v>
      </c>
      <c r="F717" s="4" t="n">
        <v>0.5484745762711865</v>
      </c>
      <c r="G717" s="4" t="n">
        <v>0.5441184446929022</v>
      </c>
      <c r="H717" s="3" t="n">
        <v>31596858.18876083</v>
      </c>
      <c r="I717" s="3" t="n">
        <v>166398.0323380828</v>
      </c>
      <c r="J717" s="4" t="n">
        <v>0.0052662841141994</v>
      </c>
      <c r="K717">
        <f>IF(AND(I717&gt;0,J717&gt;=Assumptions!$B$4),1,0)</f>
        <v/>
      </c>
      <c r="L717" s="3">
        <f>I717*K717</f>
        <v/>
      </c>
      <c r="M717">
        <f>SUM($K$2:K717)</f>
        <v/>
      </c>
    </row>
    <row r="718">
      <c r="A718" t="inlineStr">
        <is>
          <t>390334</t>
        </is>
      </c>
      <c r="B718" t="inlineStr">
        <is>
          <t>Ahn Wexford Hospital</t>
        </is>
      </c>
      <c r="C718" t="inlineStr">
        <is>
          <t>PA</t>
        </is>
      </c>
      <c r="D718" t="inlineStr">
        <is>
          <t>Metropolitan</t>
        </is>
      </c>
      <c r="E718" s="5" t="n">
        <v>491</v>
      </c>
      <c r="F718" s="4" t="n">
        <v>0.5784114052953157</v>
      </c>
      <c r="G718" s="4" t="n">
        <v>0.639397667600316</v>
      </c>
      <c r="H718" s="3" t="n">
        <v>6089000.014138787</v>
      </c>
      <c r="I718" s="3" t="n">
        <v>165968.8439777382</v>
      </c>
      <c r="J718" s="4" t="n">
        <v>0.0272571594009451</v>
      </c>
      <c r="K718">
        <f>IF(AND(I718&gt;0,J718&gt;=Assumptions!$B$4),1,0)</f>
        <v/>
      </c>
      <c r="L718" s="3">
        <f>I718*K718</f>
        <v/>
      </c>
      <c r="M718">
        <f>SUM($K$2:K718)</f>
        <v/>
      </c>
    </row>
    <row r="719">
      <c r="A719" t="inlineStr">
        <is>
          <t>230041</t>
        </is>
      </c>
      <c r="B719" t="inlineStr">
        <is>
          <t>Mclaren Bay Region</t>
        </is>
      </c>
      <c r="C719" t="inlineStr">
        <is>
          <t>MI</t>
        </is>
      </c>
      <c r="D719" t="inlineStr">
        <is>
          <t>Metropolitan</t>
        </is>
      </c>
      <c r="E719" s="5" t="n">
        <v>1768</v>
      </c>
      <c r="F719" s="4" t="n">
        <v>0.5571266968325792</v>
      </c>
      <c r="G719" s="4" t="n">
        <v>0.5755445788189049</v>
      </c>
      <c r="H719" s="3" t="n">
        <v>29329377.95772967</v>
      </c>
      <c r="I719" s="3" t="n">
        <v>165134.7961196937</v>
      </c>
      <c r="J719" s="4" t="n">
        <v>0.0056303545324994</v>
      </c>
      <c r="K719">
        <f>IF(AND(I719&gt;0,J719&gt;=Assumptions!$B$4),1,0)</f>
        <v/>
      </c>
      <c r="L719" s="3">
        <f>I719*K719</f>
        <v/>
      </c>
      <c r="M719">
        <f>SUM($K$2:K719)</f>
        <v/>
      </c>
    </row>
    <row r="720">
      <c r="A720" t="inlineStr">
        <is>
          <t>490144</t>
        </is>
      </c>
      <c r="B720" t="inlineStr">
        <is>
          <t>Uva Health Haymarket Medical Center</t>
        </is>
      </c>
      <c r="C720" t="inlineStr">
        <is>
          <t>VA</t>
        </is>
      </c>
      <c r="D720" t="inlineStr">
        <is>
          <t>Metropolitan</t>
        </is>
      </c>
      <c r="E720" s="5" t="n">
        <v>583</v>
      </c>
      <c r="F720" s="4" t="n">
        <v>0.6569468267581475</v>
      </c>
      <c r="G720" s="4" t="n">
        <v>0.7003807946364196</v>
      </c>
      <c r="H720" s="3" t="n">
        <v>7746668.331276533</v>
      </c>
      <c r="I720" s="3" t="n">
        <v>164972.5078247562</v>
      </c>
      <c r="J720" s="4" t="n">
        <v>0.0212959301689338</v>
      </c>
      <c r="K720">
        <f>IF(AND(I720&gt;0,J720&gt;=Assumptions!$B$4),1,0)</f>
        <v/>
      </c>
      <c r="L720" s="3">
        <f>I720*K720</f>
        <v/>
      </c>
      <c r="M720">
        <f>SUM($K$2:K720)</f>
        <v/>
      </c>
    </row>
    <row r="721">
      <c r="A721" t="inlineStr">
        <is>
          <t>520136</t>
        </is>
      </c>
      <c r="B721" t="inlineStr">
        <is>
          <t>Ascension Se Wisconsin Hospital - St Joseph Campus</t>
        </is>
      </c>
      <c r="C721" t="inlineStr">
        <is>
          <t>WI</t>
        </is>
      </c>
      <c r="D721" t="inlineStr">
        <is>
          <t>Metropolitan</t>
        </is>
      </c>
      <c r="E721" s="5" t="n">
        <v>1070</v>
      </c>
      <c r="F721" s="4" t="n">
        <v>0.5672897196261683</v>
      </c>
      <c r="G721" s="4" t="n">
        <v>0.5908589597981502</v>
      </c>
      <c r="H721" s="3" t="n">
        <v>14504981.13083869</v>
      </c>
      <c r="I721" s="3" t="n">
        <v>164953.7413477711</v>
      </c>
      <c r="J721" s="4" t="n">
        <v>0.0113722134389452</v>
      </c>
      <c r="K721">
        <f>IF(AND(I721&gt;0,J721&gt;=Assumptions!$B$4),1,0)</f>
        <v/>
      </c>
      <c r="L721" s="3">
        <f>I721*K721</f>
        <v/>
      </c>
      <c r="M721">
        <f>SUM($K$2:K721)</f>
        <v/>
      </c>
    </row>
    <row r="722">
      <c r="A722" t="inlineStr">
        <is>
          <t>010024</t>
        </is>
      </c>
      <c r="B722" t="inlineStr">
        <is>
          <t>Jackson Hospital &amp; Clinic Inc</t>
        </is>
      </c>
      <c r="C722" t="inlineStr">
        <is>
          <t>AL</t>
        </is>
      </c>
      <c r="D722" t="inlineStr">
        <is>
          <t>Metropolitan</t>
        </is>
      </c>
      <c r="E722" s="5" t="n">
        <v>1452</v>
      </c>
      <c r="F722" s="4" t="n">
        <v>0.5640495867768595</v>
      </c>
      <c r="G722" s="4" t="n">
        <v>0.5979356026723708</v>
      </c>
      <c r="H722" s="3" t="n">
        <v>21136531.01744418</v>
      </c>
      <c r="I722" s="3" t="n">
        <v>164270.4653195105</v>
      </c>
      <c r="J722" s="4" t="n">
        <v>0.0077718744473223</v>
      </c>
      <c r="K722">
        <f>IF(AND(I722&gt;0,J722&gt;=Assumptions!$B$4),1,0)</f>
        <v/>
      </c>
      <c r="L722" s="3">
        <f>I722*K722</f>
        <v/>
      </c>
      <c r="M722">
        <f>SUM($K$2:K722)</f>
        <v/>
      </c>
    </row>
    <row r="723">
      <c r="A723" t="inlineStr">
        <is>
          <t>450771</t>
        </is>
      </c>
      <c r="B723" t="inlineStr">
        <is>
          <t>Texas Health Presbyterian Hospital Plano</t>
        </is>
      </c>
      <c r="C723" t="inlineStr">
        <is>
          <t>TX</t>
        </is>
      </c>
      <c r="D723" t="inlineStr">
        <is>
          <t>Metropolitan</t>
        </is>
      </c>
      <c r="E723" s="5" t="n">
        <v>2469</v>
      </c>
      <c r="F723" s="4" t="n">
        <v>0.574726609963548</v>
      </c>
      <c r="G723" s="4" t="n">
        <v>0.5750953515555998</v>
      </c>
      <c r="H723" s="3" t="n">
        <v>38865500.66478603</v>
      </c>
      <c r="I723" s="3" t="n">
        <v>163939.9818362519</v>
      </c>
      <c r="J723" s="4" t="n">
        <v>0.0042181363685555</v>
      </c>
      <c r="K723">
        <f>IF(AND(I723&gt;0,J723&gt;=Assumptions!$B$4),1,0)</f>
        <v/>
      </c>
      <c r="L723" s="3">
        <f>I723*K723</f>
        <v/>
      </c>
      <c r="M723">
        <f>SUM($K$2:K723)</f>
        <v/>
      </c>
    </row>
    <row r="724">
      <c r="A724" t="inlineStr">
        <is>
          <t>500152</t>
        </is>
      </c>
      <c r="B724" t="inlineStr">
        <is>
          <t>Swedish Issaquah</t>
        </is>
      </c>
      <c r="C724" t="inlineStr">
        <is>
          <t>WA</t>
        </is>
      </c>
      <c r="D724" t="inlineStr">
        <is>
          <t>Metropolitan</t>
        </is>
      </c>
      <c r="E724" s="5" t="n">
        <v>843</v>
      </c>
      <c r="F724" s="4" t="n">
        <v>0.6559905100830368</v>
      </c>
      <c r="G724" s="4" t="n">
        <v>0.6203877672240425</v>
      </c>
      <c r="H724" s="3" t="n">
        <v>15374060.10318574</v>
      </c>
      <c r="I724" s="3" t="n">
        <v>163547.6022924632</v>
      </c>
      <c r="J724" s="4" t="n">
        <v>0.010637892735867</v>
      </c>
      <c r="K724">
        <f>IF(AND(I724&gt;0,J724&gt;=Assumptions!$B$4),1,0)</f>
        <v/>
      </c>
      <c r="L724" s="3">
        <f>I724*K724</f>
        <v/>
      </c>
      <c r="M724">
        <f>SUM($K$2:K724)</f>
        <v/>
      </c>
    </row>
    <row r="725">
      <c r="A725" t="inlineStr">
        <is>
          <t>190086</t>
        </is>
      </c>
      <c r="B725" t="inlineStr">
        <is>
          <t>Northern Louisiana Medical Center</t>
        </is>
      </c>
      <c r="C725" t="inlineStr">
        <is>
          <t>LA</t>
        </is>
      </c>
      <c r="D725" t="inlineStr">
        <is>
          <t>Micropolitan</t>
        </is>
      </c>
      <c r="E725" s="5" t="n">
        <v>428</v>
      </c>
      <c r="F725" s="4" t="n">
        <v>0.5514018691588785</v>
      </c>
      <c r="G725" s="4" t="n">
        <v>0.5887192252871721</v>
      </c>
      <c r="H725" s="3" t="n">
        <v>4877755.125943173</v>
      </c>
      <c r="I725" s="3" t="n">
        <v>162739.470967358</v>
      </c>
      <c r="J725" s="4" t="n">
        <v>0.0333636000097258</v>
      </c>
      <c r="K725">
        <f>IF(AND(I725&gt;0,J725&gt;=Assumptions!$B$4),1,0)</f>
        <v/>
      </c>
      <c r="L725" s="3">
        <f>I725*K725</f>
        <v/>
      </c>
      <c r="M725">
        <f>SUM($K$2:K725)</f>
        <v/>
      </c>
    </row>
    <row r="726">
      <c r="A726" t="inlineStr">
        <is>
          <t>470024</t>
        </is>
      </c>
      <c r="B726" t="inlineStr">
        <is>
          <t>Northwestern Medical Center Inc</t>
        </is>
      </c>
      <c r="C726" t="inlineStr">
        <is>
          <t>VT</t>
        </is>
      </c>
      <c r="D726" t="inlineStr">
        <is>
          <t>Small town</t>
        </is>
      </c>
      <c r="E726" s="5" t="n">
        <v>454</v>
      </c>
      <c r="F726" s="4" t="n">
        <v>0.6299559471365639</v>
      </c>
      <c r="G726" s="4" t="n">
        <v>0.6838013892658936</v>
      </c>
      <c r="H726" s="3" t="n">
        <v>5500293.680317009</v>
      </c>
      <c r="I726" s="3" t="n">
        <v>161134.8616379797</v>
      </c>
      <c r="J726" s="4" t="n">
        <v>0.0292956832858955</v>
      </c>
      <c r="K726">
        <f>IF(AND(I726&gt;0,J726&gt;=Assumptions!$B$4),1,0)</f>
        <v/>
      </c>
      <c r="L726" s="3">
        <f>I726*K726</f>
        <v/>
      </c>
      <c r="M726">
        <f>SUM($K$2:K726)</f>
        <v/>
      </c>
    </row>
    <row r="727">
      <c r="A727" t="inlineStr">
        <is>
          <t>490020</t>
        </is>
      </c>
      <c r="B727" t="inlineStr">
        <is>
          <t>Tricities Hospital</t>
        </is>
      </c>
      <c r="C727" t="inlineStr">
        <is>
          <t>VA</t>
        </is>
      </c>
      <c r="D727" t="inlineStr">
        <is>
          <t>Metropolitan</t>
        </is>
      </c>
      <c r="E727" s="5" t="n">
        <v>606</v>
      </c>
      <c r="F727" s="4" t="n">
        <v>0.594059405940594</v>
      </c>
      <c r="G727" s="4" t="n">
        <v>0.6368508836413299</v>
      </c>
      <c r="H727" s="3" t="n">
        <v>7163856.593850094</v>
      </c>
      <c r="I727" s="3" t="n">
        <v>160510.8032910023</v>
      </c>
      <c r="J727" s="4" t="n">
        <v>0.0224056415965661</v>
      </c>
      <c r="K727">
        <f>IF(AND(I727&gt;0,J727&gt;=Assumptions!$B$4),1,0)</f>
        <v/>
      </c>
      <c r="L727" s="3">
        <f>I727*K727</f>
        <v/>
      </c>
      <c r="M727">
        <f>SUM($K$2:K727)</f>
        <v/>
      </c>
    </row>
    <row r="728">
      <c r="A728" t="inlineStr">
        <is>
          <t>240075</t>
        </is>
      </c>
      <c r="B728" t="inlineStr">
        <is>
          <t>Essentia Health St Joseph's Medical Center</t>
        </is>
      </c>
      <c r="C728" t="inlineStr">
        <is>
          <t>MN</t>
        </is>
      </c>
      <c r="D728" t="inlineStr">
        <is>
          <t>Micropolitan</t>
        </is>
      </c>
      <c r="E728" s="5" t="n">
        <v>633</v>
      </c>
      <c r="F728" s="4" t="n">
        <v>0.608214849921011</v>
      </c>
      <c r="G728" s="4" t="n">
        <v>0.6645577512565892</v>
      </c>
      <c r="H728" s="3" t="n">
        <v>8875603.740556048</v>
      </c>
      <c r="I728" s="3" t="n">
        <v>160309.7368280403</v>
      </c>
      <c r="J728" s="4" t="n">
        <v>0.0180618402436696</v>
      </c>
      <c r="K728">
        <f>IF(AND(I728&gt;0,J728&gt;=Assumptions!$B$4),1,0)</f>
        <v/>
      </c>
      <c r="L728" s="3">
        <f>I728*K728</f>
        <v/>
      </c>
      <c r="M728">
        <f>SUM($K$2:K728)</f>
        <v/>
      </c>
    </row>
    <row r="729">
      <c r="A729" t="inlineStr">
        <is>
          <t>360236</t>
        </is>
      </c>
      <c r="B729" t="inlineStr">
        <is>
          <t>Mercy Health - Clermont Hospital</t>
        </is>
      </c>
      <c r="C729" t="inlineStr">
        <is>
          <t>OH</t>
        </is>
      </c>
      <c r="D729" t="inlineStr">
        <is>
          <t>Metropolitan</t>
        </is>
      </c>
      <c r="E729" s="5" t="n">
        <v>726</v>
      </c>
      <c r="F729" s="4" t="n">
        <v>0.6336088154269972</v>
      </c>
      <c r="G729" s="4" t="n">
        <v>0.6915319430484356</v>
      </c>
      <c r="H729" s="3" t="n">
        <v>9796306.975672295</v>
      </c>
      <c r="I729" s="3" t="n">
        <v>159543.5620507356</v>
      </c>
      <c r="J729" s="4" t="n">
        <v>0.0162860925496657</v>
      </c>
      <c r="K729">
        <f>IF(AND(I729&gt;0,J729&gt;=Assumptions!$B$4),1,0)</f>
        <v/>
      </c>
      <c r="L729" s="3">
        <f>I729*K729</f>
        <v/>
      </c>
      <c r="M729">
        <f>SUM($K$2:K729)</f>
        <v/>
      </c>
    </row>
    <row r="730">
      <c r="A730" t="inlineStr">
        <is>
          <t>030083</t>
        </is>
      </c>
      <c r="B730" t="inlineStr">
        <is>
          <t>Abrazo Scottsdale Campus</t>
        </is>
      </c>
      <c r="C730" t="inlineStr">
        <is>
          <t>AZ</t>
        </is>
      </c>
      <c r="D730" t="inlineStr">
        <is>
          <t>Metropolitan</t>
        </is>
      </c>
      <c r="E730" s="5" t="n">
        <v>458</v>
      </c>
      <c r="F730" s="4" t="n">
        <v>0.5829694323144105</v>
      </c>
      <c r="G730" s="4" t="n">
        <v>0.5412773545279975</v>
      </c>
      <c r="H730" s="3" t="n">
        <v>9828871.876251552</v>
      </c>
      <c r="I730" s="3" t="n">
        <v>159261.0062038172</v>
      </c>
      <c r="J730" s="4" t="n">
        <v>0.0162033861270104</v>
      </c>
      <c r="K730">
        <f>IF(AND(I730&gt;0,J730&gt;=Assumptions!$B$4),1,0)</f>
        <v/>
      </c>
      <c r="L730" s="3">
        <f>I730*K730</f>
        <v/>
      </c>
      <c r="M730">
        <f>SUM($K$2:K730)</f>
        <v/>
      </c>
    </row>
    <row r="731">
      <c r="A731" t="inlineStr">
        <is>
          <t>110168</t>
        </is>
      </c>
      <c r="B731" t="inlineStr">
        <is>
          <t>Adventhealth Redmond</t>
        </is>
      </c>
      <c r="C731" t="inlineStr">
        <is>
          <t>GA</t>
        </is>
      </c>
      <c r="D731" t="inlineStr">
        <is>
          <t>Metropolitan</t>
        </is>
      </c>
      <c r="E731" s="5" t="n">
        <v>2076</v>
      </c>
      <c r="F731" s="4" t="n">
        <v>0.6300578034682081</v>
      </c>
      <c r="G731" s="4" t="n">
        <v>0.599234453868272</v>
      </c>
      <c r="H731" s="3" t="n">
        <v>34189600.19091469</v>
      </c>
      <c r="I731" s="3" t="n">
        <v>158651.9777084291</v>
      </c>
      <c r="J731" s="4" t="n">
        <v>0.0046403577936716</v>
      </c>
      <c r="K731">
        <f>IF(AND(I731&gt;0,J731&gt;=Assumptions!$B$4),1,0)</f>
        <v/>
      </c>
      <c r="L731" s="3">
        <f>I731*K731</f>
        <v/>
      </c>
      <c r="M731">
        <f>SUM($K$2:K731)</f>
        <v/>
      </c>
    </row>
    <row r="732">
      <c r="A732" t="inlineStr">
        <is>
          <t>220111</t>
        </is>
      </c>
      <c r="B732" t="inlineStr">
        <is>
          <t>Good Samaritan Medical Center</t>
        </is>
      </c>
      <c r="C732" t="inlineStr">
        <is>
          <t>MA</t>
        </is>
      </c>
      <c r="D732" t="inlineStr">
        <is>
          <t>Metropolitan</t>
        </is>
      </c>
      <c r="E732" s="5" t="n">
        <v>3343</v>
      </c>
      <c r="F732" s="4" t="n">
        <v>0.55369428656895</v>
      </c>
      <c r="G732" s="4" t="n">
        <v>0.5607080112000329</v>
      </c>
      <c r="H732" s="3" t="n">
        <v>42490528.30658637</v>
      </c>
      <c r="I732" s="3" t="n">
        <v>158216.128060922</v>
      </c>
      <c r="J732" s="4" t="n">
        <v>0.0037235622706154</v>
      </c>
      <c r="K732">
        <f>IF(AND(I732&gt;0,J732&gt;=Assumptions!$B$4),1,0)</f>
        <v/>
      </c>
      <c r="L732" s="3">
        <f>I732*K732</f>
        <v/>
      </c>
      <c r="M732">
        <f>SUM($K$2:K732)</f>
        <v/>
      </c>
    </row>
    <row r="733">
      <c r="A733" t="inlineStr">
        <is>
          <t>130049</t>
        </is>
      </c>
      <c r="B733" t="inlineStr">
        <is>
          <t>Kootenai Health</t>
        </is>
      </c>
      <c r="C733" t="inlineStr">
        <is>
          <t>ID</t>
        </is>
      </c>
      <c r="D733" t="inlineStr">
        <is>
          <t>Metropolitan</t>
        </is>
      </c>
      <c r="E733" s="5" t="n">
        <v>3092</v>
      </c>
      <c r="F733" s="4" t="n">
        <v>0.5488357050452781</v>
      </c>
      <c r="G733" s="4" t="n">
        <v>0.5389036871161742</v>
      </c>
      <c r="H733" s="3" t="n">
        <v>59468739.4367383</v>
      </c>
      <c r="I733" s="3" t="n">
        <v>157451.403888762</v>
      </c>
      <c r="J733" s="4" t="n">
        <v>0.0026476331158197</v>
      </c>
      <c r="K733">
        <f>IF(AND(I733&gt;0,J733&gt;=Assumptions!$B$4),1,0)</f>
        <v/>
      </c>
      <c r="L733" s="3">
        <f>I733*K733</f>
        <v/>
      </c>
      <c r="M733">
        <f>SUM($K$2:K733)</f>
        <v/>
      </c>
    </row>
    <row r="734">
      <c r="A734" t="inlineStr">
        <is>
          <t>260009</t>
        </is>
      </c>
      <c r="B734" t="inlineStr">
        <is>
          <t>Bothwell Regional Health Center</t>
        </is>
      </c>
      <c r="C734" t="inlineStr">
        <is>
          <t>MO</t>
        </is>
      </c>
      <c r="D734" t="inlineStr">
        <is>
          <t>Micropolitan</t>
        </is>
      </c>
      <c r="E734" s="5" t="n">
        <v>474</v>
      </c>
      <c r="F734" s="4" t="n">
        <v>0.6286919831223629</v>
      </c>
      <c r="G734" s="4" t="n">
        <v>0.7033256648539683</v>
      </c>
      <c r="H734" s="3" t="n">
        <v>6675120.467015755</v>
      </c>
      <c r="I734" s="3" t="n">
        <v>157200.6010885406</v>
      </c>
      <c r="J734" s="4" t="n">
        <v>0.0235502268259167</v>
      </c>
      <c r="K734">
        <f>IF(AND(I734&gt;0,J734&gt;=Assumptions!$B$4),1,0)</f>
        <v/>
      </c>
      <c r="L734" s="3">
        <f>I734*K734</f>
        <v/>
      </c>
      <c r="M734">
        <f>SUM($K$2:K734)</f>
        <v/>
      </c>
    </row>
    <row r="735">
      <c r="A735" t="inlineStr">
        <is>
          <t>100049</t>
        </is>
      </c>
      <c r="B735" t="inlineStr">
        <is>
          <t>Hca Florida Highlands Hospital</t>
        </is>
      </c>
      <c r="C735" t="inlineStr">
        <is>
          <t>FL</t>
        </is>
      </c>
      <c r="D735" t="inlineStr">
        <is>
          <t>Metropolitan</t>
        </is>
      </c>
      <c r="E735" s="5" t="n">
        <v>576</v>
      </c>
      <c r="F735" s="4" t="n">
        <v>0.6597222222222222</v>
      </c>
      <c r="G735" s="4" t="n">
        <v>0.643593882384462</v>
      </c>
      <c r="H735" s="3" t="n">
        <v>11040421.74358986</v>
      </c>
      <c r="I735" s="3" t="n">
        <v>156880.0393094923</v>
      </c>
      <c r="J735" s="4" t="n">
        <v>0.0142096056611766</v>
      </c>
      <c r="K735">
        <f>IF(AND(I735&gt;0,J735&gt;=Assumptions!$B$4),1,0)</f>
        <v/>
      </c>
      <c r="L735" s="3">
        <f>I735*K735</f>
        <v/>
      </c>
      <c r="M735">
        <f>SUM($K$2:K735)</f>
        <v/>
      </c>
    </row>
    <row r="736">
      <c r="A736" t="inlineStr">
        <is>
          <t>340004</t>
        </is>
      </c>
      <c r="B736" t="inlineStr">
        <is>
          <t>High Point Regional Hospital</t>
        </is>
      </c>
      <c r="C736" t="inlineStr">
        <is>
          <t>NC</t>
        </is>
      </c>
      <c r="D736" t="inlineStr">
        <is>
          <t>Metropolitan</t>
        </is>
      </c>
      <c r="E736" s="5" t="n">
        <v>1110</v>
      </c>
      <c r="F736" s="4" t="n">
        <v>0.6036036036036037</v>
      </c>
      <c r="G736" s="4" t="n">
        <v>0.6362770362867042</v>
      </c>
      <c r="H736" s="3" t="n">
        <v>14572234.6286158</v>
      </c>
      <c r="I736" s="3" t="n">
        <v>155080.5668972656</v>
      </c>
      <c r="J736" s="4" t="n">
        <v>0.0106421953015174</v>
      </c>
      <c r="K736">
        <f>IF(AND(I736&gt;0,J736&gt;=Assumptions!$B$4),1,0)</f>
        <v/>
      </c>
      <c r="L736" s="3">
        <f>I736*K736</f>
        <v/>
      </c>
      <c r="M736">
        <f>SUM($K$2:K736)</f>
        <v/>
      </c>
    </row>
    <row r="737">
      <c r="A737" t="inlineStr">
        <is>
          <t>140286</t>
        </is>
      </c>
      <c r="B737" t="inlineStr">
        <is>
          <t>Northwestern Medicine Kishwaukee Hospital</t>
        </is>
      </c>
      <c r="C737" t="inlineStr">
        <is>
          <t>IL</t>
        </is>
      </c>
      <c r="D737" t="inlineStr">
        <is>
          <t>Metropolitan</t>
        </is>
      </c>
      <c r="E737" s="5" t="n">
        <v>1247</v>
      </c>
      <c r="F737" s="4" t="n">
        <v>0.6319165998396151</v>
      </c>
      <c r="G737" s="4" t="n">
        <v>0.6526262366376978</v>
      </c>
      <c r="H737" s="3" t="n">
        <v>17450033.39880781</v>
      </c>
      <c r="I737" s="3" t="n">
        <v>154272.6273354143</v>
      </c>
      <c r="J737" s="4" t="n">
        <v>0.008840821321634501</v>
      </c>
      <c r="K737">
        <f>IF(AND(I737&gt;0,J737&gt;=Assumptions!$B$4),1,0)</f>
        <v/>
      </c>
      <c r="L737" s="3">
        <f>I737*K737</f>
        <v/>
      </c>
      <c r="M737">
        <f>SUM($K$2:K737)</f>
        <v/>
      </c>
    </row>
    <row r="738">
      <c r="A738" t="inlineStr">
        <is>
          <t>100176</t>
        </is>
      </c>
      <c r="B738" t="inlineStr">
        <is>
          <t>Palm Beach Gardens Medical Center</t>
        </is>
      </c>
      <c r="C738" t="inlineStr">
        <is>
          <t>FL</t>
        </is>
      </c>
      <c r="D738" t="inlineStr">
        <is>
          <t>Metropolitan</t>
        </is>
      </c>
      <c r="E738" s="5" t="n">
        <v>2094</v>
      </c>
      <c r="F738" s="4" t="n">
        <v>0.5300859598853869</v>
      </c>
      <c r="G738" s="4" t="n">
        <v>0.5467570897414957</v>
      </c>
      <c r="H738" s="3" t="n">
        <v>33844292.91946979</v>
      </c>
      <c r="I738" s="3" t="n">
        <v>154066.0543854833</v>
      </c>
      <c r="J738" s="4" t="n">
        <v>0.0045522018956659</v>
      </c>
      <c r="K738">
        <f>IF(AND(I738&gt;0,J738&gt;=Assumptions!$B$4),1,0)</f>
        <v/>
      </c>
      <c r="L738" s="3">
        <f>I738*K738</f>
        <v/>
      </c>
      <c r="M738">
        <f>SUM($K$2:K738)</f>
        <v/>
      </c>
    </row>
    <row r="739">
      <c r="A739" t="inlineStr">
        <is>
          <t>240043</t>
        </is>
      </c>
      <c r="B739" t="inlineStr">
        <is>
          <t>Mayo Clinic Health System Southeast Mn Region</t>
        </is>
      </c>
      <c r="C739" t="inlineStr">
        <is>
          <t>MN</t>
        </is>
      </c>
      <c r="D739" t="inlineStr">
        <is>
          <t>Micropolitan</t>
        </is>
      </c>
      <c r="E739" s="5" t="n">
        <v>465</v>
      </c>
      <c r="F739" s="4" t="n">
        <v>0.6752688172043011</v>
      </c>
      <c r="G739" s="4" t="n">
        <v>0.7427288819381915</v>
      </c>
      <c r="H739" s="3" t="n">
        <v>6012222.928285973</v>
      </c>
      <c r="I739" s="3" t="n">
        <v>153670.9278071197</v>
      </c>
      <c r="J739" s="4" t="n">
        <v>0.0255597521316345</v>
      </c>
      <c r="K739">
        <f>IF(AND(I739&gt;0,J739&gt;=Assumptions!$B$4),1,0)</f>
        <v/>
      </c>
      <c r="L739" s="3">
        <f>I739*K739</f>
        <v/>
      </c>
      <c r="M739">
        <f>SUM($K$2:K739)</f>
        <v/>
      </c>
    </row>
    <row r="740">
      <c r="A740" t="inlineStr">
        <is>
          <t>390028</t>
        </is>
      </c>
      <c r="B740" t="inlineStr">
        <is>
          <t>Upmc Mercy</t>
        </is>
      </c>
      <c r="C740" t="inlineStr">
        <is>
          <t>PA</t>
        </is>
      </c>
      <c r="D740" t="inlineStr">
        <is>
          <t>Metropolitan</t>
        </is>
      </c>
      <c r="E740" s="5" t="n">
        <v>713</v>
      </c>
      <c r="F740" s="4" t="n">
        <v>0.4305750350631136</v>
      </c>
      <c r="G740" s="4" t="n">
        <v>0.5182373490269869</v>
      </c>
      <c r="H740" s="3" t="n">
        <v>11790329.14961804</v>
      </c>
      <c r="I740" s="3" t="n">
        <v>152261.0788867194</v>
      </c>
      <c r="J740" s="4" t="n">
        <v>0.0129140651592116</v>
      </c>
      <c r="K740">
        <f>IF(AND(I740&gt;0,J740&gt;=Assumptions!$B$4),1,0)</f>
        <v/>
      </c>
      <c r="L740" s="3">
        <f>I740*K740</f>
        <v/>
      </c>
      <c r="M740">
        <f>SUM($K$2:K740)</f>
        <v/>
      </c>
    </row>
    <row r="741">
      <c r="A741" t="inlineStr">
        <is>
          <t>470012</t>
        </is>
      </c>
      <c r="B741" t="inlineStr">
        <is>
          <t>Southwestern Vermont Medical Center</t>
        </is>
      </c>
      <c r="C741" t="inlineStr">
        <is>
          <t>VT</t>
        </is>
      </c>
      <c r="D741" t="inlineStr">
        <is>
          <t>Micropolitan</t>
        </is>
      </c>
      <c r="E741" s="5" t="n">
        <v>568</v>
      </c>
      <c r="F741" s="4" t="n">
        <v>0.6197183098591549</v>
      </c>
      <c r="G741" s="4" t="n">
        <v>0.665499242520484</v>
      </c>
      <c r="H741" s="3" t="n">
        <v>7497089.575202368</v>
      </c>
      <c r="I741" s="3" t="n">
        <v>150779.4053479871</v>
      </c>
      <c r="J741" s="4" t="n">
        <v>0.0201117252015649</v>
      </c>
      <c r="K741">
        <f>IF(AND(I741&gt;0,J741&gt;=Assumptions!$B$4),1,0)</f>
        <v/>
      </c>
      <c r="L741" s="3">
        <f>I741*K741</f>
        <v/>
      </c>
      <c r="M741">
        <f>SUM($K$2:K741)</f>
        <v/>
      </c>
    </row>
    <row r="742">
      <c r="A742" t="inlineStr">
        <is>
          <t>270023</t>
        </is>
      </c>
      <c r="B742" t="inlineStr">
        <is>
          <t>Community Medical Center</t>
        </is>
      </c>
      <c r="C742" t="inlineStr">
        <is>
          <t>MT</t>
        </is>
      </c>
      <c r="D742" t="inlineStr">
        <is>
          <t>Metropolitan</t>
        </is>
      </c>
      <c r="E742" s="5" t="n">
        <v>318</v>
      </c>
      <c r="F742" s="4" t="n">
        <v>0.6823899371069182</v>
      </c>
      <c r="G742" s="4" t="n">
        <v>0.6843125019873044</v>
      </c>
      <c r="H742" s="3" t="n">
        <v>5309437.686132953</v>
      </c>
      <c r="I742" s="3" t="n">
        <v>150773.3386612432</v>
      </c>
      <c r="J742" s="4" t="n">
        <v>0.0283972329226179</v>
      </c>
      <c r="K742">
        <f>IF(AND(I742&gt;0,J742&gt;=Assumptions!$B$4),1,0)</f>
        <v/>
      </c>
      <c r="L742" s="3">
        <f>I742*K742</f>
        <v/>
      </c>
      <c r="M742">
        <f>SUM($K$2:K742)</f>
        <v/>
      </c>
    </row>
    <row r="743">
      <c r="A743" t="inlineStr">
        <is>
          <t>240056</t>
        </is>
      </c>
      <c r="B743" t="inlineStr">
        <is>
          <t>Ridgeview Medical Center</t>
        </is>
      </c>
      <c r="C743" t="inlineStr">
        <is>
          <t>MN</t>
        </is>
      </c>
      <c r="D743" t="inlineStr">
        <is>
          <t>Metropolitan</t>
        </is>
      </c>
      <c r="E743" s="5" t="n">
        <v>646</v>
      </c>
      <c r="F743" s="4" t="n">
        <v>0.544891640866873</v>
      </c>
      <c r="G743" s="4" t="n">
        <v>0.6063150286285757</v>
      </c>
      <c r="H743" s="3" t="n">
        <v>9009832.879216615</v>
      </c>
      <c r="I743" s="3" t="n">
        <v>147778.3341669105</v>
      </c>
      <c r="J743" s="4" t="n">
        <v>0.0164018951458908</v>
      </c>
      <c r="K743">
        <f>IF(AND(I743&gt;0,J743&gt;=Assumptions!$B$4),1,0)</f>
        <v/>
      </c>
      <c r="L743" s="3">
        <f>I743*K743</f>
        <v/>
      </c>
      <c r="M743">
        <f>SUM($K$2:K743)</f>
        <v/>
      </c>
    </row>
    <row r="744">
      <c r="A744" t="inlineStr">
        <is>
          <t>450079</t>
        </is>
      </c>
      <c r="B744" t="inlineStr">
        <is>
          <t>Baylor Scott And White Medical Center  Irving</t>
        </is>
      </c>
      <c r="C744" t="inlineStr">
        <is>
          <t>TX</t>
        </is>
      </c>
      <c r="D744" t="inlineStr">
        <is>
          <t>Metropolitan</t>
        </is>
      </c>
      <c r="E744" s="5" t="n">
        <v>1273</v>
      </c>
      <c r="F744" s="4" t="n">
        <v>0.6229379418695994</v>
      </c>
      <c r="G744" s="4" t="n">
        <v>0.618899290851012</v>
      </c>
      <c r="H744" s="3" t="n">
        <v>17900741.50989054</v>
      </c>
      <c r="I744" s="3" t="n">
        <v>147266.1953603476</v>
      </c>
      <c r="J744" s="4" t="n">
        <v>0.008226820954817899</v>
      </c>
      <c r="K744">
        <f>IF(AND(I744&gt;0,J744&gt;=Assumptions!$B$4),1,0)</f>
        <v/>
      </c>
      <c r="L744" s="3">
        <f>I744*K744</f>
        <v/>
      </c>
      <c r="M744">
        <f>SUM($K$2:K744)</f>
        <v/>
      </c>
    </row>
    <row r="745">
      <c r="A745" t="inlineStr">
        <is>
          <t>100264</t>
        </is>
      </c>
      <c r="B745" t="inlineStr">
        <is>
          <t>Hca Florida Oak Hill Hospital</t>
        </is>
      </c>
      <c r="C745" t="inlineStr">
        <is>
          <t>FL</t>
        </is>
      </c>
      <c r="D745" t="inlineStr">
        <is>
          <t>Metropolitan</t>
        </is>
      </c>
      <c r="E745" s="5" t="n">
        <v>3208</v>
      </c>
      <c r="F745" s="4" t="n">
        <v>0.5377182044887781</v>
      </c>
      <c r="G745" s="4" t="n">
        <v>0.5610093420519883</v>
      </c>
      <c r="H745" s="3" t="n">
        <v>46823680.05857245</v>
      </c>
      <c r="I745" s="3" t="n">
        <v>147104.5659372658</v>
      </c>
      <c r="J745" s="4" t="n">
        <v>0.0031416703205141</v>
      </c>
      <c r="K745">
        <f>IF(AND(I745&gt;0,J745&gt;=Assumptions!$B$4),1,0)</f>
        <v/>
      </c>
      <c r="L745" s="3">
        <f>I745*K745</f>
        <v/>
      </c>
      <c r="M745">
        <f>SUM($K$2:K745)</f>
        <v/>
      </c>
    </row>
    <row r="746">
      <c r="A746" t="inlineStr">
        <is>
          <t>010005</t>
        </is>
      </c>
      <c r="B746" t="inlineStr">
        <is>
          <t>Marshall Medical Centers South Campus</t>
        </is>
      </c>
      <c r="C746" t="inlineStr">
        <is>
          <t>AL</t>
        </is>
      </c>
      <c r="D746" t="inlineStr">
        <is>
          <t>Micropolitan</t>
        </is>
      </c>
      <c r="E746" s="5" t="n">
        <v>724</v>
      </c>
      <c r="F746" s="4" t="n">
        <v>0.5082872928176796</v>
      </c>
      <c r="G746" s="4" t="n">
        <v>0.565241395840435</v>
      </c>
      <c r="H746" s="3" t="n">
        <v>9090730.912798893</v>
      </c>
      <c r="I746" s="3" t="n">
        <v>146772.8622333817</v>
      </c>
      <c r="J746" s="4" t="n">
        <v>0.0161453312875798</v>
      </c>
      <c r="K746">
        <f>IF(AND(I746&gt;0,J746&gt;=Assumptions!$B$4),1,0)</f>
        <v/>
      </c>
      <c r="L746" s="3">
        <f>I746*K746</f>
        <v/>
      </c>
      <c r="M746">
        <f>SUM($K$2:K746)</f>
        <v/>
      </c>
    </row>
    <row r="747">
      <c r="A747" t="inlineStr">
        <is>
          <t>100023</t>
        </is>
      </c>
      <c r="B747" t="inlineStr">
        <is>
          <t>Hca Florida Citrus Hospital</t>
        </is>
      </c>
      <c r="C747" t="inlineStr">
        <is>
          <t>FL</t>
        </is>
      </c>
      <c r="D747" t="inlineStr">
        <is>
          <t>Metropolitan</t>
        </is>
      </c>
      <c r="E747" s="5" t="n">
        <v>2451</v>
      </c>
      <c r="F747" s="4" t="n">
        <v>0.6034271725826194</v>
      </c>
      <c r="G747" s="4" t="n">
        <v>0.5924366048474132</v>
      </c>
      <c r="H747" s="3" t="n">
        <v>41465064.21606427</v>
      </c>
      <c r="I747" s="3" t="n">
        <v>145807.8768914491</v>
      </c>
      <c r="J747" s="4" t="n">
        <v>0.0035164030165654</v>
      </c>
      <c r="K747">
        <f>IF(AND(I747&gt;0,J747&gt;=Assumptions!$B$4),1,0)</f>
        <v/>
      </c>
      <c r="L747" s="3">
        <f>I747*K747</f>
        <v/>
      </c>
      <c r="M747">
        <f>SUM($K$2:K747)</f>
        <v/>
      </c>
    </row>
    <row r="748">
      <c r="A748" t="inlineStr">
        <is>
          <t>330184</t>
        </is>
      </c>
      <c r="B748" t="inlineStr">
        <is>
          <t>Montefiore New Rochelle Hospital</t>
        </is>
      </c>
      <c r="C748" t="inlineStr">
        <is>
          <t>NY</t>
        </is>
      </c>
      <c r="D748" t="inlineStr">
        <is>
          <t>Metropolitan</t>
        </is>
      </c>
      <c r="E748" s="5" t="n">
        <v>814</v>
      </c>
      <c r="F748" s="4" t="n">
        <v>0.6425061425061425</v>
      </c>
      <c r="G748" s="4" t="n">
        <v>0.6736852459517964</v>
      </c>
      <c r="H748" s="3" t="n">
        <v>10548148.8336286</v>
      </c>
      <c r="I748" s="3" t="n">
        <v>145687.8140287381</v>
      </c>
      <c r="J748" s="4" t="n">
        <v>0.0138116949548787</v>
      </c>
      <c r="K748">
        <f>IF(AND(I748&gt;0,J748&gt;=Assumptions!$B$4),1,0)</f>
        <v/>
      </c>
      <c r="L748" s="3">
        <f>I748*K748</f>
        <v/>
      </c>
      <c r="M748">
        <f>SUM($K$2:K748)</f>
        <v/>
      </c>
    </row>
    <row r="749">
      <c r="A749" t="inlineStr">
        <is>
          <t>010149</t>
        </is>
      </c>
      <c r="B749" t="inlineStr">
        <is>
          <t>Baptist Medical Center East</t>
        </is>
      </c>
      <c r="C749" t="inlineStr">
        <is>
          <t>AL</t>
        </is>
      </c>
      <c r="D749" t="inlineStr">
        <is>
          <t>Metropolitan</t>
        </is>
      </c>
      <c r="E749" s="5" t="n">
        <v>839</v>
      </c>
      <c r="F749" s="4" t="n">
        <v>0.6436233611442194</v>
      </c>
      <c r="G749" s="4" t="n">
        <v>0.6286265609947573</v>
      </c>
      <c r="H749" s="3" t="n">
        <v>10735957.17801914</v>
      </c>
      <c r="I749" s="3" t="n">
        <v>145275.9950859119</v>
      </c>
      <c r="J749" s="4" t="n">
        <v>0.0135317226658979</v>
      </c>
      <c r="K749">
        <f>IF(AND(I749&gt;0,J749&gt;=Assumptions!$B$4),1,0)</f>
        <v/>
      </c>
      <c r="L749" s="3">
        <f>I749*K749</f>
        <v/>
      </c>
      <c r="M749">
        <f>SUM($K$2:K749)</f>
        <v/>
      </c>
    </row>
    <row r="750">
      <c r="A750" t="inlineStr">
        <is>
          <t>360163</t>
        </is>
      </c>
      <c r="B750" t="inlineStr">
        <is>
          <t>Christ Hospital</t>
        </is>
      </c>
      <c r="C750" t="inlineStr">
        <is>
          <t>OH</t>
        </is>
      </c>
      <c r="D750" t="inlineStr">
        <is>
          <t>Metropolitan</t>
        </is>
      </c>
      <c r="E750" s="5" t="n">
        <v>3310</v>
      </c>
      <c r="F750" s="4" t="n">
        <v>0.4867069486404833</v>
      </c>
      <c r="G750" s="4" t="n">
        <v>0.4957530657526425</v>
      </c>
      <c r="H750" s="3" t="n">
        <v>69750236.54272625</v>
      </c>
      <c r="I750" s="3" t="n">
        <v>144583.1311007142</v>
      </c>
      <c r="J750" s="4" t="n">
        <v>0.0020728694018427</v>
      </c>
      <c r="K750">
        <f>IF(AND(I750&gt;0,J750&gt;=Assumptions!$B$4),1,0)</f>
        <v/>
      </c>
      <c r="L750" s="3">
        <f>I750*K750</f>
        <v/>
      </c>
      <c r="M750">
        <f>SUM($K$2:K750)</f>
        <v/>
      </c>
    </row>
    <row r="751">
      <c r="A751" t="inlineStr">
        <is>
          <t>110083</t>
        </is>
      </c>
      <c r="B751" t="inlineStr">
        <is>
          <t>Piedmont Hospital</t>
        </is>
      </c>
      <c r="C751" t="inlineStr">
        <is>
          <t>GA</t>
        </is>
      </c>
      <c r="D751" t="inlineStr">
        <is>
          <t>Metropolitan</t>
        </is>
      </c>
      <c r="E751" s="5" t="n">
        <v>4947</v>
      </c>
      <c r="F751" s="4" t="n">
        <v>0.5162724883767941</v>
      </c>
      <c r="G751" s="4" t="n">
        <v>0.514179972006513</v>
      </c>
      <c r="H751" s="3" t="n">
        <v>107238574.3009936</v>
      </c>
      <c r="I751" s="3" t="n">
        <v>142851.6746621132</v>
      </c>
      <c r="J751" s="4" t="n">
        <v>0.0013320922587161</v>
      </c>
      <c r="K751">
        <f>IF(AND(I751&gt;0,J751&gt;=Assumptions!$B$4),1,0)</f>
        <v/>
      </c>
      <c r="L751" s="3">
        <f>I751*K751</f>
        <v/>
      </c>
      <c r="M751">
        <f>SUM($K$2:K751)</f>
        <v/>
      </c>
    </row>
    <row r="752">
      <c r="A752" t="inlineStr">
        <is>
          <t>040119</t>
        </is>
      </c>
      <c r="B752" t="inlineStr">
        <is>
          <t>White River Medical Center</t>
        </is>
      </c>
      <c r="C752" t="inlineStr">
        <is>
          <t>AR</t>
        </is>
      </c>
      <c r="D752" t="inlineStr">
        <is>
          <t>Micropolitan</t>
        </is>
      </c>
      <c r="E752" s="5" t="n">
        <v>1588</v>
      </c>
      <c r="F752" s="4" t="n">
        <v>0.5522670025188917</v>
      </c>
      <c r="G752" s="4" t="n">
        <v>0.5954783668004282</v>
      </c>
      <c r="H752" s="3" t="n">
        <v>21763175.0759338</v>
      </c>
      <c r="I752" s="3" t="n">
        <v>142762.5419852398</v>
      </c>
      <c r="J752" s="4" t="n">
        <v>0.0065598214179285</v>
      </c>
      <c r="K752">
        <f>IF(AND(I752&gt;0,J752&gt;=Assumptions!$B$4),1,0)</f>
        <v/>
      </c>
      <c r="L752" s="3">
        <f>I752*K752</f>
        <v/>
      </c>
      <c r="M752">
        <f>SUM($K$2:K752)</f>
        <v/>
      </c>
    </row>
    <row r="753">
      <c r="A753" t="inlineStr">
        <is>
          <t>240213</t>
        </is>
      </c>
      <c r="B753" t="inlineStr">
        <is>
          <t>M Health Fairview Woodwinds Hospital</t>
        </is>
      </c>
      <c r="C753" t="inlineStr">
        <is>
          <t>MN</t>
        </is>
      </c>
      <c r="D753" t="inlineStr">
        <is>
          <t>Metropolitan</t>
        </is>
      </c>
      <c r="E753" s="5" t="n">
        <v>672</v>
      </c>
      <c r="F753" s="4" t="n">
        <v>0.5654761904761905</v>
      </c>
      <c r="G753" s="4" t="n">
        <v>0.5544330447533411</v>
      </c>
      <c r="H753" s="3" t="n">
        <v>11910751.67664836</v>
      </c>
      <c r="I753" s="3" t="n">
        <v>141544.8951601386</v>
      </c>
      <c r="J753" s="4" t="n">
        <v>0.0118837919723945</v>
      </c>
      <c r="K753">
        <f>IF(AND(I753&gt;0,J753&gt;=Assumptions!$B$4),1,0)</f>
        <v/>
      </c>
      <c r="L753" s="3">
        <f>I753*K753</f>
        <v/>
      </c>
      <c r="M753">
        <f>SUM($K$2:K753)</f>
        <v/>
      </c>
    </row>
    <row r="754">
      <c r="A754" t="inlineStr">
        <is>
          <t>360041</t>
        </is>
      </c>
      <c r="B754" t="inlineStr">
        <is>
          <t>Parma Community General Hospital</t>
        </is>
      </c>
      <c r="C754" t="inlineStr">
        <is>
          <t>OH</t>
        </is>
      </c>
      <c r="D754" t="inlineStr">
        <is>
          <t>Metropolitan</t>
        </is>
      </c>
      <c r="E754" s="5" t="n">
        <v>1576</v>
      </c>
      <c r="F754" s="4" t="n">
        <v>0.5552030456852792</v>
      </c>
      <c r="G754" s="4" t="n">
        <v>0.5871109205817537</v>
      </c>
      <c r="H754" s="3" t="n">
        <v>20222191.35945874</v>
      </c>
      <c r="I754" s="3" t="n">
        <v>141398.5414879955</v>
      </c>
      <c r="J754" s="4" t="n">
        <v>0.0069922462395183</v>
      </c>
      <c r="K754">
        <f>IF(AND(I754&gt;0,J754&gt;=Assumptions!$B$4),1,0)</f>
        <v/>
      </c>
      <c r="L754" s="3">
        <f>I754*K754</f>
        <v/>
      </c>
      <c r="M754">
        <f>SUM($K$2:K754)</f>
        <v/>
      </c>
    </row>
    <row r="755">
      <c r="A755" t="inlineStr">
        <is>
          <t>010036</t>
        </is>
      </c>
      <c r="B755" t="inlineStr">
        <is>
          <t>Andalusia Health</t>
        </is>
      </c>
      <c r="C755" t="inlineStr">
        <is>
          <t>AL</t>
        </is>
      </c>
      <c r="D755" t="inlineStr">
        <is>
          <t>Small town</t>
        </is>
      </c>
      <c r="E755" s="5" t="n">
        <v>305</v>
      </c>
      <c r="F755" s="4" t="n">
        <v>0.5836065573770491</v>
      </c>
      <c r="G755" s="4" t="n">
        <v>0.6819279040132697</v>
      </c>
      <c r="H755" s="3" t="n">
        <v>3517519.210534417</v>
      </c>
      <c r="I755" s="3" t="n">
        <v>141373.5730575067</v>
      </c>
      <c r="J755" s="4" t="n">
        <v>0.0401912724837763</v>
      </c>
      <c r="K755">
        <f>IF(AND(I755&gt;0,J755&gt;=Assumptions!$B$4),1,0)</f>
        <v/>
      </c>
      <c r="L755" s="3">
        <f>I755*K755</f>
        <v/>
      </c>
      <c r="M755">
        <f>SUM($K$2:K755)</f>
        <v/>
      </c>
    </row>
    <row r="756">
      <c r="A756" t="inlineStr">
        <is>
          <t>360348</t>
        </is>
      </c>
      <c r="B756" t="inlineStr">
        <is>
          <t>Dublin Methodist Hospital</t>
        </is>
      </c>
      <c r="C756" t="inlineStr">
        <is>
          <t>OH</t>
        </is>
      </c>
      <c r="D756" t="inlineStr">
        <is>
          <t>Metropolitan</t>
        </is>
      </c>
      <c r="E756" s="5" t="n">
        <v>872</v>
      </c>
      <c r="F756" s="4" t="n">
        <v>0.5447247706422018</v>
      </c>
      <c r="G756" s="4" t="n">
        <v>0.5546729386983128</v>
      </c>
      <c r="H756" s="3" t="n">
        <v>14623399.89830717</v>
      </c>
      <c r="I756" s="3" t="n">
        <v>139357.3581506722</v>
      </c>
      <c r="J756" s="4" t="n">
        <v>0.0095297508869195</v>
      </c>
      <c r="K756">
        <f>IF(AND(I756&gt;0,J756&gt;=Assumptions!$B$4),1,0)</f>
        <v/>
      </c>
      <c r="L756" s="3">
        <f>I756*K756</f>
        <v/>
      </c>
      <c r="M756">
        <f>SUM($K$2:K756)</f>
        <v/>
      </c>
    </row>
    <row r="757">
      <c r="A757" t="inlineStr">
        <is>
          <t>050128</t>
        </is>
      </c>
      <c r="B757" t="inlineStr">
        <is>
          <t>Tri-City Medical Center</t>
        </is>
      </c>
      <c r="C757" t="inlineStr">
        <is>
          <t>CA</t>
        </is>
      </c>
      <c r="D757" t="inlineStr">
        <is>
          <t>Metropolitan</t>
        </is>
      </c>
      <c r="E757" s="5" t="n">
        <v>875</v>
      </c>
      <c r="F757" s="4" t="n">
        <v>0.6388571428571429</v>
      </c>
      <c r="G757" s="4" t="n">
        <v>0.6591946400489652</v>
      </c>
      <c r="H757" s="3" t="n">
        <v>13758511.5167188</v>
      </c>
      <c r="I757" s="3" t="n">
        <v>137131.0624241009</v>
      </c>
      <c r="J757" s="4" t="n">
        <v>0.0099669984109447</v>
      </c>
      <c r="K757">
        <f>IF(AND(I757&gt;0,J757&gt;=Assumptions!$B$4),1,0)</f>
        <v/>
      </c>
      <c r="L757" s="3">
        <f>I757*K757</f>
        <v/>
      </c>
      <c r="M757">
        <f>SUM($K$2:K757)</f>
        <v/>
      </c>
    </row>
    <row r="758">
      <c r="A758" t="inlineStr">
        <is>
          <t>390328</t>
        </is>
      </c>
      <c r="B758" t="inlineStr">
        <is>
          <t>Upmc East</t>
        </is>
      </c>
      <c r="C758" t="inlineStr">
        <is>
          <t>PA</t>
        </is>
      </c>
      <c r="D758" t="inlineStr">
        <is>
          <t>Metropolitan</t>
        </is>
      </c>
      <c r="E758" s="5" t="n">
        <v>693</v>
      </c>
      <c r="F758" s="4" t="n">
        <v>0.5873015873015873</v>
      </c>
      <c r="G758" s="4" t="n">
        <v>0.6485758698942909</v>
      </c>
      <c r="H758" s="3" t="n">
        <v>8837592.990187703</v>
      </c>
      <c r="I758" s="3" t="n">
        <v>136719.7716583889</v>
      </c>
      <c r="J758" s="4" t="n">
        <v>0.0154702498531203</v>
      </c>
      <c r="K758">
        <f>IF(AND(I758&gt;0,J758&gt;=Assumptions!$B$4),1,0)</f>
        <v/>
      </c>
      <c r="L758" s="3">
        <f>I758*K758</f>
        <v/>
      </c>
      <c r="M758">
        <f>SUM($K$2:K758)</f>
        <v/>
      </c>
    </row>
    <row r="759">
      <c r="A759" t="inlineStr">
        <is>
          <t>330011</t>
        </is>
      </c>
      <c r="B759" t="inlineStr">
        <is>
          <t>Our Lady Of Lourdes Memorial Hospital, Inc</t>
        </is>
      </c>
      <c r="C759" t="inlineStr">
        <is>
          <t>NY</t>
        </is>
      </c>
      <c r="D759" t="inlineStr">
        <is>
          <t>Metropolitan</t>
        </is>
      </c>
      <c r="E759" s="5" t="n">
        <v>952</v>
      </c>
      <c r="F759" s="4" t="n">
        <v>0.5966386554621849</v>
      </c>
      <c r="G759" s="4" t="n">
        <v>0.6337299969720331</v>
      </c>
      <c r="H759" s="3" t="n">
        <v>14276114.23718996</v>
      </c>
      <c r="I759" s="3" t="n">
        <v>136639.1239152737</v>
      </c>
      <c r="J759" s="4" t="n">
        <v>0.009571170533177799</v>
      </c>
      <c r="K759">
        <f>IF(AND(I759&gt;0,J759&gt;=Assumptions!$B$4),1,0)</f>
        <v/>
      </c>
      <c r="L759" s="3">
        <f>I759*K759</f>
        <v/>
      </c>
      <c r="M759">
        <f>SUM($K$2:K759)</f>
        <v/>
      </c>
    </row>
    <row r="760">
      <c r="A760" t="inlineStr">
        <is>
          <t>510008</t>
        </is>
      </c>
      <c r="B760" t="inlineStr">
        <is>
          <t>Berkeley Medical Center</t>
        </is>
      </c>
      <c r="C760" t="inlineStr">
        <is>
          <t>WV</t>
        </is>
      </c>
      <c r="D760" t="inlineStr">
        <is>
          <t>Metropolitan</t>
        </is>
      </c>
      <c r="E760" s="5" t="n">
        <v>1056</v>
      </c>
      <c r="F760" s="4" t="n">
        <v>0.6183712121212122</v>
      </c>
      <c r="G760" s="4" t="n">
        <v>0.6368106234210336</v>
      </c>
      <c r="H760" s="3" t="n">
        <v>14218420.04922759</v>
      </c>
      <c r="I760" s="3" t="n">
        <v>135630.8745445628</v>
      </c>
      <c r="J760" s="4" t="n">
        <v>0.0095390960511066</v>
      </c>
      <c r="K760">
        <f>IF(AND(I760&gt;0,J760&gt;=Assumptions!$B$4),1,0)</f>
        <v/>
      </c>
      <c r="L760" s="3">
        <f>I760*K760</f>
        <v/>
      </c>
      <c r="M760">
        <f>SUM($K$2:K760)</f>
        <v/>
      </c>
    </row>
    <row r="761">
      <c r="A761" t="inlineStr">
        <is>
          <t>390201</t>
        </is>
      </c>
      <c r="B761" t="inlineStr">
        <is>
          <t>Lehigh Valley Hospital - Pocono</t>
        </is>
      </c>
      <c r="C761" t="inlineStr">
        <is>
          <t>PA</t>
        </is>
      </c>
      <c r="D761" t="inlineStr">
        <is>
          <t>Metropolitan</t>
        </is>
      </c>
      <c r="E761" s="5" t="n">
        <v>1068</v>
      </c>
      <c r="F761" s="4" t="n">
        <v>0.5758426966292135</v>
      </c>
      <c r="G761" s="4" t="n">
        <v>0.5990402090848284</v>
      </c>
      <c r="H761" s="3" t="n">
        <v>14790473.77795311</v>
      </c>
      <c r="I761" s="3" t="n">
        <v>134001.386218816</v>
      </c>
      <c r="J761" s="4" t="n">
        <v>0.0090599792968471</v>
      </c>
      <c r="K761">
        <f>IF(AND(I761&gt;0,J761&gt;=Assumptions!$B$4),1,0)</f>
        <v/>
      </c>
      <c r="L761" s="3">
        <f>I761*K761</f>
        <v/>
      </c>
      <c r="M761">
        <f>SUM($K$2:K761)</f>
        <v/>
      </c>
    </row>
    <row r="762">
      <c r="A762" t="inlineStr">
        <is>
          <t>330395</t>
        </is>
      </c>
      <c r="B762" t="inlineStr">
        <is>
          <t>St John's Episcopal Hospital At South Shore</t>
        </is>
      </c>
      <c r="C762" t="inlineStr">
        <is>
          <t>NY</t>
        </is>
      </c>
      <c r="D762" t="inlineStr">
        <is>
          <t>Metropolitan</t>
        </is>
      </c>
      <c r="E762" s="5" t="n">
        <v>1305</v>
      </c>
      <c r="F762" s="4" t="n">
        <v>0.5616858237547893</v>
      </c>
      <c r="G762" s="4" t="n">
        <v>0.613569520017908</v>
      </c>
      <c r="H762" s="3" t="n">
        <v>17601468.21928668</v>
      </c>
      <c r="I762" s="3" t="n">
        <v>133853.5866669044</v>
      </c>
      <c r="J762" s="4" t="n">
        <v>0.0076046830298074</v>
      </c>
      <c r="K762">
        <f>IF(AND(I762&gt;0,J762&gt;=Assumptions!$B$4),1,0)</f>
        <v/>
      </c>
      <c r="L762" s="3">
        <f>I762*K762</f>
        <v/>
      </c>
      <c r="M762">
        <f>SUM($K$2:K762)</f>
        <v/>
      </c>
    </row>
    <row r="763">
      <c r="A763" t="inlineStr">
        <is>
          <t>240214</t>
        </is>
      </c>
      <c r="B763" t="inlineStr">
        <is>
          <t>Maple Grove Hospital</t>
        </is>
      </c>
      <c r="C763" t="inlineStr">
        <is>
          <t>MN</t>
        </is>
      </c>
      <c r="D763" t="inlineStr">
        <is>
          <t>Metropolitan</t>
        </is>
      </c>
      <c r="E763" s="5" t="n">
        <v>563</v>
      </c>
      <c r="F763" s="4" t="n">
        <v>0.5737122557726465</v>
      </c>
      <c r="G763" s="4" t="n">
        <v>0.5819118557205366</v>
      </c>
      <c r="H763" s="3" t="n">
        <v>8631392.097691528</v>
      </c>
      <c r="I763" s="3" t="n">
        <v>133550.517560808</v>
      </c>
      <c r="J763" s="4" t="n">
        <v>0.0154726509987335</v>
      </c>
      <c r="K763">
        <f>IF(AND(I763&gt;0,J763&gt;=Assumptions!$B$4),1,0)</f>
        <v/>
      </c>
      <c r="L763" s="3">
        <f>I763*K763</f>
        <v/>
      </c>
      <c r="M763">
        <f>SUM($K$2:K763)</f>
        <v/>
      </c>
    </row>
    <row r="764">
      <c r="A764" t="inlineStr">
        <is>
          <t>360143</t>
        </is>
      </c>
      <c r="B764" t="inlineStr">
        <is>
          <t>Marymount Hospital</t>
        </is>
      </c>
      <c r="C764" t="inlineStr">
        <is>
          <t>OH</t>
        </is>
      </c>
      <c r="D764" t="inlineStr">
        <is>
          <t>Metropolitan</t>
        </is>
      </c>
      <c r="E764" s="5" t="n">
        <v>1052</v>
      </c>
      <c r="F764" s="4" t="n">
        <v>0.6302281368821293</v>
      </c>
      <c r="G764" s="4" t="n">
        <v>0.66276602992764</v>
      </c>
      <c r="H764" s="3" t="n">
        <v>13087229.27927675</v>
      </c>
      <c r="I764" s="3" t="n">
        <v>133371.2486779913</v>
      </c>
      <c r="J764" s="4" t="n">
        <v>0.0101909461377879</v>
      </c>
      <c r="K764">
        <f>IF(AND(I764&gt;0,J764&gt;=Assumptions!$B$4),1,0)</f>
        <v/>
      </c>
      <c r="L764" s="3">
        <f>I764*K764</f>
        <v/>
      </c>
      <c r="M764">
        <f>SUM($K$2:K764)</f>
        <v/>
      </c>
    </row>
    <row r="765">
      <c r="A765" t="inlineStr">
        <is>
          <t>050036</t>
        </is>
      </c>
      <c r="B765" t="inlineStr">
        <is>
          <t>Bakersfield Memorial Hospital</t>
        </is>
      </c>
      <c r="C765" t="inlineStr">
        <is>
          <t>CA</t>
        </is>
      </c>
      <c r="D765" t="inlineStr">
        <is>
          <t>Metropolitan</t>
        </is>
      </c>
      <c r="E765" s="5" t="n">
        <v>1944</v>
      </c>
      <c r="F765" s="4" t="n">
        <v>0.6538065843621399</v>
      </c>
      <c r="G765" s="4" t="n">
        <v>0.623747969355132</v>
      </c>
      <c r="H765" s="3" t="n">
        <v>34775890.40978891</v>
      </c>
      <c r="I765" s="3" t="n">
        <v>133370.3377900273</v>
      </c>
      <c r="J765" s="4" t="n">
        <v>0.0038351379711182</v>
      </c>
      <c r="K765">
        <f>IF(AND(I765&gt;0,J765&gt;=Assumptions!$B$4),1,0)</f>
        <v/>
      </c>
      <c r="L765" s="3">
        <f>I765*K765</f>
        <v/>
      </c>
      <c r="M765">
        <f>SUM($K$2:K765)</f>
        <v/>
      </c>
    </row>
    <row r="766">
      <c r="A766" t="inlineStr">
        <is>
          <t>100249</t>
        </is>
      </c>
      <c r="B766" t="inlineStr">
        <is>
          <t>Tampa General Hospital Crystal River</t>
        </is>
      </c>
      <c r="C766" t="inlineStr">
        <is>
          <t>FL</t>
        </is>
      </c>
      <c r="D766" t="inlineStr">
        <is>
          <t>Rural</t>
        </is>
      </c>
      <c r="E766" s="5" t="n">
        <v>1153</v>
      </c>
      <c r="F766" s="4" t="n">
        <v>0.5611448395490026</v>
      </c>
      <c r="G766" s="4" t="n">
        <v>0.5861411451118409</v>
      </c>
      <c r="H766" s="3" t="n">
        <v>15272319.60810468</v>
      </c>
      <c r="I766" s="3" t="n">
        <v>132253.1338266339</v>
      </c>
      <c r="J766" s="4" t="n">
        <v>0.008659662528045099</v>
      </c>
      <c r="K766">
        <f>IF(AND(I766&gt;0,J766&gt;=Assumptions!$B$4),1,0)</f>
        <v/>
      </c>
      <c r="L766" s="3">
        <f>I766*K766</f>
        <v/>
      </c>
      <c r="M766">
        <f>SUM($K$2:K766)</f>
        <v/>
      </c>
    </row>
    <row r="767">
      <c r="A767" t="inlineStr">
        <is>
          <t>390173</t>
        </is>
      </c>
      <c r="B767" t="inlineStr">
        <is>
          <t>Indiana Regional Medical Center</t>
        </is>
      </c>
      <c r="C767" t="inlineStr">
        <is>
          <t>PA</t>
        </is>
      </c>
      <c r="D767" t="inlineStr">
        <is>
          <t>Micropolitan</t>
        </is>
      </c>
      <c r="E767" s="5" t="n">
        <v>431</v>
      </c>
      <c r="F767" s="4" t="n">
        <v>0.6241299303944315</v>
      </c>
      <c r="G767" s="4" t="n">
        <v>0.6672552551134738</v>
      </c>
      <c r="H767" s="3" t="n">
        <v>5363669.471322573</v>
      </c>
      <c r="I767" s="3" t="n">
        <v>132106.9089150522</v>
      </c>
      <c r="J767" s="4" t="n">
        <v>0.0246299496308219</v>
      </c>
      <c r="K767">
        <f>IF(AND(I767&gt;0,J767&gt;=Assumptions!$B$4),1,0)</f>
        <v/>
      </c>
      <c r="L767" s="3">
        <f>I767*K767</f>
        <v/>
      </c>
      <c r="M767">
        <f>SUM($K$2:K767)</f>
        <v/>
      </c>
    </row>
    <row r="768">
      <c r="A768" t="inlineStr">
        <is>
          <t>010055</t>
        </is>
      </c>
      <c r="B768" t="inlineStr">
        <is>
          <t>Flowers Hospital</t>
        </is>
      </c>
      <c r="C768" t="inlineStr">
        <is>
          <t>AL</t>
        </is>
      </c>
      <c r="D768" t="inlineStr">
        <is>
          <t>Metropolitan</t>
        </is>
      </c>
      <c r="E768" s="5" t="n">
        <v>1618</v>
      </c>
      <c r="F768" s="4" t="n">
        <v>0.5426452410383189</v>
      </c>
      <c r="G768" s="4" t="n">
        <v>0.5257647288370106</v>
      </c>
      <c r="H768" s="3" t="n">
        <v>25471184.84160267</v>
      </c>
      <c r="I768" s="3" t="n">
        <v>131782.4414009713</v>
      </c>
      <c r="J768" s="4" t="n">
        <v>0.0051737852879826</v>
      </c>
      <c r="K768">
        <f>IF(AND(I768&gt;0,J768&gt;=Assumptions!$B$4),1,0)</f>
        <v/>
      </c>
      <c r="L768" s="3">
        <f>I768*K768</f>
        <v/>
      </c>
      <c r="M768">
        <f>SUM($K$2:K768)</f>
        <v/>
      </c>
    </row>
    <row r="769">
      <c r="A769" t="inlineStr">
        <is>
          <t>440125</t>
        </is>
      </c>
      <c r="B769" t="inlineStr">
        <is>
          <t>Fort Sanders Regional Medical Center</t>
        </is>
      </c>
      <c r="C769" t="inlineStr">
        <is>
          <t>TN</t>
        </is>
      </c>
      <c r="D769" t="inlineStr">
        <is>
          <t>Metropolitan</t>
        </is>
      </c>
      <c r="E769" s="5" t="n">
        <v>1815</v>
      </c>
      <c r="F769" s="4" t="n">
        <v>0.5972451790633608</v>
      </c>
      <c r="G769" s="4" t="n">
        <v>0.5674926613744697</v>
      </c>
      <c r="H769" s="3" t="n">
        <v>28988629.70570975</v>
      </c>
      <c r="I769" s="3" t="n">
        <v>131722.7592495754</v>
      </c>
      <c r="J769" s="4" t="n">
        <v>0.0045439456982552</v>
      </c>
      <c r="K769">
        <f>IF(AND(I769&gt;0,J769&gt;=Assumptions!$B$4),1,0)</f>
        <v/>
      </c>
      <c r="L769" s="3">
        <f>I769*K769</f>
        <v/>
      </c>
      <c r="M769">
        <f>SUM($K$2:K769)</f>
        <v/>
      </c>
    </row>
    <row r="770">
      <c r="A770" t="inlineStr">
        <is>
          <t>310061</t>
        </is>
      </c>
      <c r="B770" t="inlineStr">
        <is>
          <t>Virtua Willingboro Hospital</t>
        </is>
      </c>
      <c r="C770" t="inlineStr">
        <is>
          <t>NJ</t>
        </is>
      </c>
      <c r="D770" t="inlineStr">
        <is>
          <t>Metropolitan</t>
        </is>
      </c>
      <c r="E770" s="5" t="n">
        <v>595</v>
      </c>
      <c r="F770" s="4" t="n">
        <v>0.5983193277310924</v>
      </c>
      <c r="G770" s="4" t="n">
        <v>0.6593599097577657</v>
      </c>
      <c r="H770" s="3" t="n">
        <v>7040427.126645378</v>
      </c>
      <c r="I770" s="3" t="n">
        <v>131344.0835275669</v>
      </c>
      <c r="J770" s="4" t="n">
        <v>0.018655698179231</v>
      </c>
      <c r="K770">
        <f>IF(AND(I770&gt;0,J770&gt;=Assumptions!$B$4),1,0)</f>
        <v/>
      </c>
      <c r="L770" s="3">
        <f>I770*K770</f>
        <v/>
      </c>
      <c r="M770">
        <f>SUM($K$2:K770)</f>
        <v/>
      </c>
    </row>
    <row r="771">
      <c r="A771" t="inlineStr">
        <is>
          <t>220083</t>
        </is>
      </c>
      <c r="B771" t="inlineStr">
        <is>
          <t>Beth Israel Deaconess Hospital - Needham</t>
        </is>
      </c>
      <c r="C771" t="inlineStr">
        <is>
          <t>MA</t>
        </is>
      </c>
      <c r="D771" t="inlineStr">
        <is>
          <t>Metropolitan</t>
        </is>
      </c>
      <c r="E771" s="5" t="n">
        <v>1763</v>
      </c>
      <c r="F771" s="4" t="n">
        <v>0.633011911514464</v>
      </c>
      <c r="G771" s="4" t="n">
        <v>0.6479962333005125</v>
      </c>
      <c r="H771" s="3" t="n">
        <v>22804428.1010648</v>
      </c>
      <c r="I771" s="3" t="n">
        <v>130947.1073889285</v>
      </c>
      <c r="J771" s="4" t="n">
        <v>0.0057421789666724</v>
      </c>
      <c r="K771">
        <f>IF(AND(I771&gt;0,J771&gt;=Assumptions!$B$4),1,0)</f>
        <v/>
      </c>
      <c r="L771" s="3">
        <f>I771*K771</f>
        <v/>
      </c>
      <c r="M771">
        <f>SUM($K$2:K771)</f>
        <v/>
      </c>
    </row>
    <row r="772">
      <c r="A772" t="inlineStr">
        <is>
          <t>380038</t>
        </is>
      </c>
      <c r="B772" t="inlineStr">
        <is>
          <t>Providence Willamette Falls Medical Center</t>
        </is>
      </c>
      <c r="C772" t="inlineStr">
        <is>
          <t>OR</t>
        </is>
      </c>
      <c r="D772" t="inlineStr">
        <is>
          <t>Metropolitan</t>
        </is>
      </c>
      <c r="E772" s="5" t="n">
        <v>309</v>
      </c>
      <c r="F772" s="4" t="n">
        <v>0.6828478964401294</v>
      </c>
      <c r="G772" s="4" t="n">
        <v>0.741001470912496</v>
      </c>
      <c r="H772" s="3" t="n">
        <v>4393682.18672893</v>
      </c>
      <c r="I772" s="3" t="n">
        <v>130828.3588248836</v>
      </c>
      <c r="J772" s="4" t="n">
        <v>0.029776472959298</v>
      </c>
      <c r="K772">
        <f>IF(AND(I772&gt;0,J772&gt;=Assumptions!$B$4),1,0)</f>
        <v/>
      </c>
      <c r="L772" s="3">
        <f>I772*K772</f>
        <v/>
      </c>
      <c r="M772">
        <f>SUM($K$2:K772)</f>
        <v/>
      </c>
    </row>
    <row r="773">
      <c r="A773" t="inlineStr">
        <is>
          <t>110054</t>
        </is>
      </c>
      <c r="B773" t="inlineStr">
        <is>
          <t>Atrium Health Floyd Medical Center</t>
        </is>
      </c>
      <c r="C773" t="inlineStr">
        <is>
          <t>GA</t>
        </is>
      </c>
      <c r="D773" t="inlineStr">
        <is>
          <t>Metropolitan</t>
        </is>
      </c>
      <c r="E773" s="5" t="n">
        <v>1891</v>
      </c>
      <c r="F773" s="4" t="n">
        <v>0.5732416710735061</v>
      </c>
      <c r="G773" s="4" t="n">
        <v>0.5890948644635926</v>
      </c>
      <c r="H773" s="3" t="n">
        <v>25345279.23503814</v>
      </c>
      <c r="I773" s="3" t="n">
        <v>129967.725302089</v>
      </c>
      <c r="J773" s="4" t="n">
        <v>0.0051278868974707</v>
      </c>
      <c r="K773">
        <f>IF(AND(I773&gt;0,J773&gt;=Assumptions!$B$4),1,0)</f>
        <v/>
      </c>
      <c r="L773" s="3">
        <f>I773*K773</f>
        <v/>
      </c>
      <c r="M773">
        <f>SUM($K$2:K773)</f>
        <v/>
      </c>
    </row>
    <row r="774">
      <c r="A774" t="inlineStr">
        <is>
          <t>390237</t>
        </is>
      </c>
      <c r="B774" t="inlineStr">
        <is>
          <t>Regional Hospital Of Scranton</t>
        </is>
      </c>
      <c r="C774" t="inlineStr">
        <is>
          <t>PA</t>
        </is>
      </c>
      <c r="D774" t="inlineStr">
        <is>
          <t>Metropolitan</t>
        </is>
      </c>
      <c r="E774" s="5" t="n">
        <v>2054</v>
      </c>
      <c r="F774" s="4" t="n">
        <v>0.5808179162609542</v>
      </c>
      <c r="G774" s="4" t="n">
        <v>0.6033639952078795</v>
      </c>
      <c r="H774" s="3" t="n">
        <v>32850429.04721336</v>
      </c>
      <c r="I774" s="3" t="n">
        <v>128440.2652318627</v>
      </c>
      <c r="J774" s="4" t="n">
        <v>0.0039098504633612</v>
      </c>
      <c r="K774">
        <f>IF(AND(I774&gt;0,J774&gt;=Assumptions!$B$4),1,0)</f>
        <v/>
      </c>
      <c r="L774" s="3">
        <f>I774*K774</f>
        <v/>
      </c>
      <c r="M774">
        <f>SUM($K$2:K774)</f>
        <v/>
      </c>
    </row>
    <row r="775">
      <c r="A775" t="inlineStr">
        <is>
          <t>140127</t>
        </is>
      </c>
      <c r="B775" t="inlineStr">
        <is>
          <t>Carle Bromenn Medical Center</t>
        </is>
      </c>
      <c r="C775" t="inlineStr">
        <is>
          <t>IL</t>
        </is>
      </c>
      <c r="D775" t="inlineStr">
        <is>
          <t>Metropolitan</t>
        </is>
      </c>
      <c r="E775" s="5" t="n">
        <v>1014</v>
      </c>
      <c r="F775" s="4" t="n">
        <v>0.5710059171597633</v>
      </c>
      <c r="G775" s="4" t="n">
        <v>0.6014934704829029</v>
      </c>
      <c r="H775" s="3" t="n">
        <v>14497035.91509204</v>
      </c>
      <c r="I775" s="3" t="n">
        <v>127957.8654313702</v>
      </c>
      <c r="J775" s="4" t="n">
        <v>0.008826484681476199</v>
      </c>
      <c r="K775">
        <f>IF(AND(I775&gt;0,J775&gt;=Assumptions!$B$4),1,0)</f>
        <v/>
      </c>
      <c r="L775" s="3">
        <f>I775*K775</f>
        <v/>
      </c>
      <c r="M775">
        <f>SUM($K$2:K775)</f>
        <v/>
      </c>
    </row>
    <row r="776">
      <c r="A776" t="inlineStr">
        <is>
          <t>490088</t>
        </is>
      </c>
      <c r="B776" t="inlineStr">
        <is>
          <t>Bedford Memorial Hospital</t>
        </is>
      </c>
      <c r="C776" t="inlineStr">
        <is>
          <t>VA</t>
        </is>
      </c>
      <c r="D776" t="inlineStr">
        <is>
          <t>Small town</t>
        </is>
      </c>
      <c r="E776" s="5" t="n">
        <v>348</v>
      </c>
      <c r="F776" s="4" t="n">
        <v>0.7270114942528736</v>
      </c>
      <c r="G776" s="4" t="n">
        <v>0.7690168389840808</v>
      </c>
      <c r="H776" s="3" t="n">
        <v>4761896.360209665</v>
      </c>
      <c r="I776" s="3" t="n">
        <v>127680.2964925347</v>
      </c>
      <c r="J776" s="4" t="n">
        <v>0.0268129095709493</v>
      </c>
      <c r="K776">
        <f>IF(AND(I776&gt;0,J776&gt;=Assumptions!$B$4),1,0)</f>
        <v/>
      </c>
      <c r="L776" s="3">
        <f>I776*K776</f>
        <v/>
      </c>
      <c r="M776">
        <f>SUM($K$2:K776)</f>
        <v/>
      </c>
    </row>
    <row r="777">
      <c r="A777" t="inlineStr">
        <is>
          <t>260219</t>
        </is>
      </c>
      <c r="B777" t="inlineStr">
        <is>
          <t>Progress West Hospital</t>
        </is>
      </c>
      <c r="C777" t="inlineStr">
        <is>
          <t>MO</t>
        </is>
      </c>
      <c r="D777" t="inlineStr">
        <is>
          <t>Metropolitan</t>
        </is>
      </c>
      <c r="E777" s="5" t="n">
        <v>315</v>
      </c>
      <c r="F777" s="4" t="n">
        <v>0.5904761904761905</v>
      </c>
      <c r="G777" s="4" t="n">
        <v>0.6934773058640544</v>
      </c>
      <c r="H777" s="3" t="n">
        <v>3977001.513972336</v>
      </c>
      <c r="I777" s="3" t="n">
        <v>126936.7702305424</v>
      </c>
      <c r="J777" s="4" t="n">
        <v>0.0319177072939443</v>
      </c>
      <c r="K777">
        <f>IF(AND(I777&gt;0,J777&gt;=Assumptions!$B$4),1,0)</f>
        <v/>
      </c>
      <c r="L777" s="3">
        <f>I777*K777</f>
        <v/>
      </c>
      <c r="M777">
        <f>SUM($K$2:K777)</f>
        <v/>
      </c>
    </row>
    <row r="778">
      <c r="A778" t="inlineStr">
        <is>
          <t>140209</t>
        </is>
      </c>
      <c r="B778" t="inlineStr">
        <is>
          <t>Carle Health Methodist Hospital</t>
        </is>
      </c>
      <c r="C778" t="inlineStr">
        <is>
          <t>IL</t>
        </is>
      </c>
      <c r="D778" t="inlineStr">
        <is>
          <t>Metropolitan</t>
        </is>
      </c>
      <c r="E778" s="5" t="n">
        <v>1483</v>
      </c>
      <c r="F778" s="4" t="n">
        <v>0.6062036412677007</v>
      </c>
      <c r="G778" s="4" t="n">
        <v>0.6057413196639059</v>
      </c>
      <c r="H778" s="3" t="n">
        <v>26860816.07694359</v>
      </c>
      <c r="I778" s="3" t="n">
        <v>124262.4548103251</v>
      </c>
      <c r="J778" s="4" t="n">
        <v>0.0046261608156048</v>
      </c>
      <c r="K778">
        <f>IF(AND(I778&gt;0,J778&gt;=Assumptions!$B$4),1,0)</f>
        <v/>
      </c>
      <c r="L778" s="3">
        <f>I778*K778</f>
        <v/>
      </c>
      <c r="M778">
        <f>SUM($K$2:K778)</f>
        <v/>
      </c>
    </row>
    <row r="779">
      <c r="A779" t="inlineStr">
        <is>
          <t>110025</t>
        </is>
      </c>
      <c r="B779" t="inlineStr">
        <is>
          <t>Southeast Georgia Health System- Brunswick Campus</t>
        </is>
      </c>
      <c r="C779" t="inlineStr">
        <is>
          <t>GA</t>
        </is>
      </c>
      <c r="D779" t="inlineStr">
        <is>
          <t>Metropolitan</t>
        </is>
      </c>
      <c r="E779" s="5" t="n">
        <v>2000</v>
      </c>
      <c r="F779" s="4" t="n">
        <v>0.6635</v>
      </c>
      <c r="G779" s="4" t="n">
        <v>0.6361586283367129</v>
      </c>
      <c r="H779" s="3" t="n">
        <v>28184209.96681177</v>
      </c>
      <c r="I779" s="3" t="n">
        <v>124030.237566229</v>
      </c>
      <c r="J779" s="4" t="n">
        <v>0.004400699459459</v>
      </c>
      <c r="K779">
        <f>IF(AND(I779&gt;0,J779&gt;=Assumptions!$B$4),1,0)</f>
        <v/>
      </c>
      <c r="L779" s="3">
        <f>I779*K779</f>
        <v/>
      </c>
      <c r="M779">
        <f>SUM($K$2:K779)</f>
        <v/>
      </c>
    </row>
    <row r="780">
      <c r="A780" t="inlineStr">
        <is>
          <t>040088</t>
        </is>
      </c>
      <c r="B780" t="inlineStr">
        <is>
          <t>South Arkansas Regional Hospital Llc</t>
        </is>
      </c>
      <c r="C780" t="inlineStr">
        <is>
          <t>AR</t>
        </is>
      </c>
      <c r="D780" t="inlineStr">
        <is>
          <t>Micropolitan</t>
        </is>
      </c>
      <c r="E780" s="5" t="n">
        <v>426</v>
      </c>
      <c r="F780" s="4" t="n">
        <v>0.5727699530516432</v>
      </c>
      <c r="G780" s="4" t="n">
        <v>0.6202422295766135</v>
      </c>
      <c r="H780" s="3" t="n">
        <v>5324436.074422933</v>
      </c>
      <c r="I780" s="3" t="n">
        <v>122964.8040168798</v>
      </c>
      <c r="J780" s="4" t="n">
        <v>0.0230944277099254</v>
      </c>
      <c r="K780">
        <f>IF(AND(I780&gt;0,J780&gt;=Assumptions!$B$4),1,0)</f>
        <v/>
      </c>
      <c r="L780" s="3">
        <f>I780*K780</f>
        <v/>
      </c>
      <c r="M780">
        <f>SUM($K$2:K780)</f>
        <v/>
      </c>
    </row>
    <row r="781">
      <c r="A781" t="inlineStr">
        <is>
          <t>100067</t>
        </is>
      </c>
      <c r="B781" t="inlineStr">
        <is>
          <t>St Anthonys Hospital</t>
        </is>
      </c>
      <c r="C781" t="inlineStr">
        <is>
          <t>FL</t>
        </is>
      </c>
      <c r="D781" t="inlineStr">
        <is>
          <t>Metropolitan</t>
        </is>
      </c>
      <c r="E781" s="5" t="n">
        <v>3247</v>
      </c>
      <c r="F781" s="4" t="n">
        <v>0.5654450261780105</v>
      </c>
      <c r="G781" s="4" t="n">
        <v>0.576610748374251</v>
      </c>
      <c r="H781" s="3" t="n">
        <v>48903659.16241074</v>
      </c>
      <c r="I781" s="3" t="n">
        <v>122264.926678218</v>
      </c>
      <c r="J781" s="4" t="n">
        <v>0.002500118166458</v>
      </c>
      <c r="K781">
        <f>IF(AND(I781&gt;0,J781&gt;=Assumptions!$B$4),1,0)</f>
        <v/>
      </c>
      <c r="L781" s="3">
        <f>I781*K781</f>
        <v/>
      </c>
      <c r="M781">
        <f>SUM($K$2:K781)</f>
        <v/>
      </c>
    </row>
    <row r="782">
      <c r="A782" t="inlineStr">
        <is>
          <t>030146</t>
        </is>
      </c>
      <c r="B782" t="inlineStr">
        <is>
          <t>Honorhealth Sonoran Crossing Medical Center</t>
        </is>
      </c>
      <c r="C782" t="inlineStr">
        <is>
          <t>AZ</t>
        </is>
      </c>
      <c r="D782" t="inlineStr">
        <is>
          <t>Metropolitan</t>
        </is>
      </c>
      <c r="E782" s="5" t="n">
        <v>372</v>
      </c>
      <c r="F782" s="4" t="n">
        <v>0.6075268817204301</v>
      </c>
      <c r="G782" s="4" t="n">
        <v>0.6381726930663363</v>
      </c>
      <c r="H782" s="3" t="n">
        <v>5382572.789244512</v>
      </c>
      <c r="I782" s="3" t="n">
        <v>121479.3014672855</v>
      </c>
      <c r="J782" s="4" t="n">
        <v>0.0225690030072656</v>
      </c>
      <c r="K782">
        <f>IF(AND(I782&gt;0,J782&gt;=Assumptions!$B$4),1,0)</f>
        <v/>
      </c>
      <c r="L782" s="3">
        <f>I782*K782</f>
        <v/>
      </c>
      <c r="M782">
        <f>SUM($K$2:K782)</f>
        <v/>
      </c>
    </row>
    <row r="783">
      <c r="A783" t="inlineStr">
        <is>
          <t>180017</t>
        </is>
      </c>
      <c r="B783" t="inlineStr">
        <is>
          <t>T J Samson Community Hospital</t>
        </is>
      </c>
      <c r="C783" t="inlineStr">
        <is>
          <t>KY</t>
        </is>
      </c>
      <c r="D783" t="inlineStr">
        <is>
          <t>Micropolitan</t>
        </is>
      </c>
      <c r="E783" s="5" t="n">
        <v>807</v>
      </c>
      <c r="F783" s="4" t="n">
        <v>0.6617100371747212</v>
      </c>
      <c r="G783" s="4" t="n">
        <v>0.6632570328810171</v>
      </c>
      <c r="H783" s="3" t="n">
        <v>10118842.95573088</v>
      </c>
      <c r="I783" s="3" t="n">
        <v>120821.5036740322</v>
      </c>
      <c r="J783" s="4" t="n">
        <v>0.0119402489200214</v>
      </c>
      <c r="K783">
        <f>IF(AND(I783&gt;0,J783&gt;=Assumptions!$B$4),1,0)</f>
        <v/>
      </c>
      <c r="L783" s="3">
        <f>I783*K783</f>
        <v/>
      </c>
      <c r="M783">
        <f>SUM($K$2:K783)</f>
        <v/>
      </c>
    </row>
    <row r="784">
      <c r="A784" t="inlineStr">
        <is>
          <t>440152</t>
        </is>
      </c>
      <c r="B784" t="inlineStr">
        <is>
          <t>Regional One Health</t>
        </is>
      </c>
      <c r="C784" t="inlineStr">
        <is>
          <t>TN</t>
        </is>
      </c>
      <c r="D784" t="inlineStr">
        <is>
          <t>Metropolitan</t>
        </is>
      </c>
      <c r="E784" s="5" t="n">
        <v>335</v>
      </c>
      <c r="F784" s="4" t="n">
        <v>0.4328358208955223</v>
      </c>
      <c r="G784" s="4" t="n">
        <v>0.4430722556377415</v>
      </c>
      <c r="H784" s="3" t="n">
        <v>9266653.521484232</v>
      </c>
      <c r="I784" s="3" t="n">
        <v>120787.9176630024</v>
      </c>
      <c r="J784" s="4" t="n">
        <v>0.013034685863992</v>
      </c>
      <c r="K784">
        <f>IF(AND(I784&gt;0,J784&gt;=Assumptions!$B$4),1,0)</f>
        <v/>
      </c>
      <c r="L784" s="3">
        <f>I784*K784</f>
        <v/>
      </c>
      <c r="M784">
        <f>SUM($K$2:K784)</f>
        <v/>
      </c>
    </row>
    <row r="785">
      <c r="A785" t="inlineStr">
        <is>
          <t>130074</t>
        </is>
      </c>
      <c r="B785" t="inlineStr">
        <is>
          <t>Idaho Falls Community Hospital, Llc</t>
        </is>
      </c>
      <c r="C785" t="inlineStr">
        <is>
          <t>ID</t>
        </is>
      </c>
      <c r="D785" t="inlineStr">
        <is>
          <t>Metropolitan</t>
        </is>
      </c>
      <c r="E785" s="5" t="n">
        <v>349</v>
      </c>
      <c r="F785" s="4" t="n">
        <v>0.5501432664756447</v>
      </c>
      <c r="G785" s="4" t="n">
        <v>0.6007544345828852</v>
      </c>
      <c r="H785" s="3" t="n">
        <v>5288314.583839259</v>
      </c>
      <c r="I785" s="3" t="n">
        <v>120139.0173881594</v>
      </c>
      <c r="J785" s="4" t="n">
        <v>0.0227178272932734</v>
      </c>
      <c r="K785">
        <f>IF(AND(I785&gt;0,J785&gt;=Assumptions!$B$4),1,0)</f>
        <v/>
      </c>
      <c r="L785" s="3">
        <f>I785*K785</f>
        <v/>
      </c>
      <c r="M785">
        <f>SUM($K$2:K785)</f>
        <v/>
      </c>
    </row>
    <row r="786">
      <c r="A786" t="inlineStr">
        <is>
          <t>520193</t>
        </is>
      </c>
      <c r="B786" t="inlineStr">
        <is>
          <t>Aurora Baycare Medical Ctr</t>
        </is>
      </c>
      <c r="C786" t="inlineStr">
        <is>
          <t>WI</t>
        </is>
      </c>
      <c r="D786" t="inlineStr">
        <is>
          <t>Metropolitan</t>
        </is>
      </c>
      <c r="E786" s="5" t="n">
        <v>726</v>
      </c>
      <c r="F786" s="4" t="n">
        <v>0.6597796143250688</v>
      </c>
      <c r="G786" s="4" t="n">
        <v>0.6515518711157959</v>
      </c>
      <c r="H786" s="3" t="n">
        <v>12981468.52330675</v>
      </c>
      <c r="I786" s="3" t="n">
        <v>120047.3016267419</v>
      </c>
      <c r="J786" s="4" t="n">
        <v>0.009247590240750499</v>
      </c>
      <c r="K786">
        <f>IF(AND(I786&gt;0,J786&gt;=Assumptions!$B$4),1,0)</f>
        <v/>
      </c>
      <c r="L786" s="3">
        <f>I786*K786</f>
        <v/>
      </c>
      <c r="M786">
        <f>SUM($K$2:K786)</f>
        <v/>
      </c>
    </row>
    <row r="787">
      <c r="A787" t="inlineStr">
        <is>
          <t>170103</t>
        </is>
      </c>
      <c r="B787" t="inlineStr">
        <is>
          <t>Nmc Health</t>
        </is>
      </c>
      <c r="C787" t="inlineStr">
        <is>
          <t>KS</t>
        </is>
      </c>
      <c r="D787" t="inlineStr">
        <is>
          <t>Micropolitan</t>
        </is>
      </c>
      <c r="E787" s="5" t="n">
        <v>403</v>
      </c>
      <c r="F787" s="4" t="n">
        <v>0.5310173697270472</v>
      </c>
      <c r="G787" s="4" t="n">
        <v>0.6442682500392878</v>
      </c>
      <c r="H787" s="3" t="n">
        <v>5580700.924864175</v>
      </c>
      <c r="I787" s="3" t="n">
        <v>119753.7501796912</v>
      </c>
      <c r="J787" s="4" t="n">
        <v>0.0214585500624378</v>
      </c>
      <c r="K787">
        <f>IF(AND(I787&gt;0,J787&gt;=Assumptions!$B$4),1,0)</f>
        <v/>
      </c>
      <c r="L787" s="3">
        <f>I787*K787</f>
        <v/>
      </c>
      <c r="M787">
        <f>SUM($K$2:K787)</f>
        <v/>
      </c>
    </row>
    <row r="788">
      <c r="A788" t="inlineStr">
        <is>
          <t>370016</t>
        </is>
      </c>
      <c r="B788" t="inlineStr">
        <is>
          <t>Integris Bass Baptist Health Center</t>
        </is>
      </c>
      <c r="C788" t="inlineStr">
        <is>
          <t>OK</t>
        </is>
      </c>
      <c r="D788" t="inlineStr">
        <is>
          <t>Micropolitan</t>
        </is>
      </c>
      <c r="E788" s="5" t="n">
        <v>351</v>
      </c>
      <c r="F788" s="4" t="n">
        <v>0.5669515669515669</v>
      </c>
      <c r="G788" s="4" t="n">
        <v>0.664479189264925</v>
      </c>
      <c r="H788" s="3" t="n">
        <v>4298156.713692752</v>
      </c>
      <c r="I788" s="3" t="n">
        <v>119652.7950110268</v>
      </c>
      <c r="J788" s="4" t="n">
        <v>0.0278381648183849</v>
      </c>
      <c r="K788">
        <f>IF(AND(I788&gt;0,J788&gt;=Assumptions!$B$4),1,0)</f>
        <v/>
      </c>
      <c r="L788" s="3">
        <f>I788*K788</f>
        <v/>
      </c>
      <c r="M788">
        <f>SUM($K$2:K788)</f>
        <v/>
      </c>
    </row>
    <row r="789">
      <c r="A789" t="inlineStr">
        <is>
          <t>330094</t>
        </is>
      </c>
      <c r="B789" t="inlineStr">
        <is>
          <t>Columbia Memorial Hospital</t>
        </is>
      </c>
      <c r="C789" t="inlineStr">
        <is>
          <t>NY</t>
        </is>
      </c>
      <c r="D789" t="inlineStr">
        <is>
          <t>Micropolitan</t>
        </is>
      </c>
      <c r="E789" s="5" t="n">
        <v>466</v>
      </c>
      <c r="F789" s="4" t="n">
        <v>0.6502145922746781</v>
      </c>
      <c r="G789" s="4" t="n">
        <v>0.6822121391716403</v>
      </c>
      <c r="H789" s="3" t="n">
        <v>5885993.585465044</v>
      </c>
      <c r="I789" s="3" t="n">
        <v>119218.6186952395</v>
      </c>
      <c r="J789" s="4" t="n">
        <v>0.0202546293950505</v>
      </c>
      <c r="K789">
        <f>IF(AND(I789&gt;0,J789&gt;=Assumptions!$B$4),1,0)</f>
        <v/>
      </c>
      <c r="L789" s="3">
        <f>I789*K789</f>
        <v/>
      </c>
      <c r="M789">
        <f>SUM($K$2:K789)</f>
        <v/>
      </c>
    </row>
    <row r="790">
      <c r="A790" t="inlineStr">
        <is>
          <t>360072</t>
        </is>
      </c>
      <c r="B790" t="inlineStr">
        <is>
          <t>Fairfield Medical Center</t>
        </is>
      </c>
      <c r="C790" t="inlineStr">
        <is>
          <t>OH</t>
        </is>
      </c>
      <c r="D790" t="inlineStr">
        <is>
          <t>Micropolitan</t>
        </is>
      </c>
      <c r="E790" s="5" t="n">
        <v>1122</v>
      </c>
      <c r="F790" s="4" t="n">
        <v>0.6461675579322638</v>
      </c>
      <c r="G790" s="4" t="n">
        <v>0.6321958142104699</v>
      </c>
      <c r="H790" s="3" t="n">
        <v>18086528.60626158</v>
      </c>
      <c r="I790" s="3" t="n">
        <v>118228.6078836694</v>
      </c>
      <c r="J790" s="4" t="n">
        <v>0.006536832493259</v>
      </c>
      <c r="K790">
        <f>IF(AND(I790&gt;0,J790&gt;=Assumptions!$B$4),1,0)</f>
        <v/>
      </c>
      <c r="L790" s="3">
        <f>I790*K790</f>
        <v/>
      </c>
      <c r="M790">
        <f>SUM($K$2:K790)</f>
        <v/>
      </c>
    </row>
    <row r="791">
      <c r="A791" t="inlineStr">
        <is>
          <t>520189</t>
        </is>
      </c>
      <c r="B791" t="inlineStr">
        <is>
          <t>Aurora Medical Ctr Kenosha</t>
        </is>
      </c>
      <c r="C791" t="inlineStr">
        <is>
          <t>WI</t>
        </is>
      </c>
      <c r="D791" t="inlineStr">
        <is>
          <t>Metropolitan</t>
        </is>
      </c>
      <c r="E791" s="5" t="n">
        <v>1187</v>
      </c>
      <c r="F791" s="4" t="n">
        <v>0.6807076663858467</v>
      </c>
      <c r="G791" s="4" t="n">
        <v>0.6755675018179049</v>
      </c>
      <c r="H791" s="3" t="n">
        <v>17866094.64714772</v>
      </c>
      <c r="I791" s="3" t="n">
        <v>117604.1771480106</v>
      </c>
      <c r="J791" s="4" t="n">
        <v>0.0065825340943654</v>
      </c>
      <c r="K791">
        <f>IF(AND(I791&gt;0,J791&gt;=Assumptions!$B$4),1,0)</f>
        <v/>
      </c>
      <c r="L791" s="3">
        <f>I791*K791</f>
        <v/>
      </c>
      <c r="M791">
        <f>SUM($K$2:K791)</f>
        <v/>
      </c>
    </row>
    <row r="792">
      <c r="A792" t="inlineStr">
        <is>
          <t>260113</t>
        </is>
      </c>
      <c r="B792" t="inlineStr">
        <is>
          <t>Missouri Delta Medical Center</t>
        </is>
      </c>
      <c r="C792" t="inlineStr">
        <is>
          <t>MO</t>
        </is>
      </c>
      <c r="D792" t="inlineStr">
        <is>
          <t>Micropolitan</t>
        </is>
      </c>
      <c r="E792" s="5" t="n">
        <v>334</v>
      </c>
      <c r="F792" s="4" t="n">
        <v>0.5748502994011976</v>
      </c>
      <c r="G792" s="4" t="n">
        <v>0.658393158102848</v>
      </c>
      <c r="H792" s="3" t="n">
        <v>4275529.43417237</v>
      </c>
      <c r="I792" s="3" t="n">
        <v>116269.6177568021</v>
      </c>
      <c r="J792" s="4" t="n">
        <v>0.0271942035593327</v>
      </c>
      <c r="K792">
        <f>IF(AND(I792&gt;0,J792&gt;=Assumptions!$B$4),1,0)</f>
        <v/>
      </c>
      <c r="L792" s="3">
        <f>I792*K792</f>
        <v/>
      </c>
      <c r="M792">
        <f>SUM($K$2:K792)</f>
        <v/>
      </c>
    </row>
    <row r="793">
      <c r="A793" t="inlineStr">
        <is>
          <t>030110</t>
        </is>
      </c>
      <c r="B793" t="inlineStr">
        <is>
          <t>Abrazo West Campus</t>
        </is>
      </c>
      <c r="C793" t="inlineStr">
        <is>
          <t>AZ</t>
        </is>
      </c>
      <c r="D793" t="inlineStr">
        <is>
          <t>Metropolitan</t>
        </is>
      </c>
      <c r="E793" s="5" t="n">
        <v>1166</v>
      </c>
      <c r="F793" s="4" t="n">
        <v>0.660377358490566</v>
      </c>
      <c r="G793" s="4" t="n">
        <v>0.6401464532424239</v>
      </c>
      <c r="H793" s="3" t="n">
        <v>18184762.38831604</v>
      </c>
      <c r="I793" s="3" t="n">
        <v>114626.3544894531</v>
      </c>
      <c r="J793" s="4" t="n">
        <v>0.0063034287741423</v>
      </c>
      <c r="K793">
        <f>IF(AND(I793&gt;0,J793&gt;=Assumptions!$B$4),1,0)</f>
        <v/>
      </c>
      <c r="L793" s="3">
        <f>I793*K793</f>
        <v/>
      </c>
      <c r="M793">
        <f>SUM($K$2:K793)</f>
        <v/>
      </c>
    </row>
    <row r="794">
      <c r="A794" t="inlineStr">
        <is>
          <t>100256</t>
        </is>
      </c>
      <c r="B794" t="inlineStr">
        <is>
          <t>Hca Florida Bayonet Point Hospital</t>
        </is>
      </c>
      <c r="C794" t="inlineStr">
        <is>
          <t>FL</t>
        </is>
      </c>
      <c r="D794" t="inlineStr">
        <is>
          <t>Metropolitan</t>
        </is>
      </c>
      <c r="E794" s="5" t="n">
        <v>2052</v>
      </c>
      <c r="F794" s="4" t="n">
        <v>0.5073099415204678</v>
      </c>
      <c r="G794" s="4" t="n">
        <v>0.5413870329656597</v>
      </c>
      <c r="H794" s="3" t="n">
        <v>34073698.51519082</v>
      </c>
      <c r="I794" s="3" t="n">
        <v>113330.2052937224</v>
      </c>
      <c r="J794" s="4" t="n">
        <v>0.003326031814339</v>
      </c>
      <c r="K794">
        <f>IF(AND(I794&gt;0,J794&gt;=Assumptions!$B$4),1,0)</f>
        <v/>
      </c>
      <c r="L794" s="3">
        <f>I794*K794</f>
        <v/>
      </c>
      <c r="M794">
        <f>SUM($K$2:K794)</f>
        <v/>
      </c>
    </row>
    <row r="795">
      <c r="A795" t="inlineStr">
        <is>
          <t>050194</t>
        </is>
      </c>
      <c r="B795" t="inlineStr">
        <is>
          <t>Watsonville Community Hospital</t>
        </is>
      </c>
      <c r="C795" t="inlineStr">
        <is>
          <t>CA</t>
        </is>
      </c>
      <c r="D795" t="inlineStr">
        <is>
          <t>Metropolitan</t>
        </is>
      </c>
      <c r="E795" s="5" t="n">
        <v>526</v>
      </c>
      <c r="F795" s="4" t="n">
        <v>0.6920152091254753</v>
      </c>
      <c r="G795" s="4" t="n">
        <v>0.7374055733632784</v>
      </c>
      <c r="H795" s="3" t="n">
        <v>7808352.406412946</v>
      </c>
      <c r="I795" s="3" t="n">
        <v>112663.0296082087</v>
      </c>
      <c r="J795" s="4" t="n">
        <v>0.0144285277795196</v>
      </c>
      <c r="K795">
        <f>IF(AND(I795&gt;0,J795&gt;=Assumptions!$B$4),1,0)</f>
        <v/>
      </c>
      <c r="L795" s="3">
        <f>I795*K795</f>
        <v/>
      </c>
      <c r="M795">
        <f>SUM($K$2:K795)</f>
        <v/>
      </c>
    </row>
    <row r="796">
      <c r="A796" t="inlineStr">
        <is>
          <t>160028</t>
        </is>
      </c>
      <c r="B796" t="inlineStr">
        <is>
          <t>Chi Health Mercy Council Bluffs</t>
        </is>
      </c>
      <c r="C796" t="inlineStr">
        <is>
          <t>IA</t>
        </is>
      </c>
      <c r="D796" t="inlineStr">
        <is>
          <t>Metropolitan</t>
        </is>
      </c>
      <c r="E796" s="5" t="n">
        <v>507</v>
      </c>
      <c r="F796" s="4" t="n">
        <v>0.757396449704142</v>
      </c>
      <c r="G796" s="4" t="n">
        <v>0.7238134458164988</v>
      </c>
      <c r="H796" s="3" t="n">
        <v>8012788.341990399</v>
      </c>
      <c r="I796" s="3" t="n">
        <v>112377.459452834</v>
      </c>
      <c r="J796" s="4" t="n">
        <v>0.0140247632480105</v>
      </c>
      <c r="K796">
        <f>IF(AND(I796&gt;0,J796&gt;=Assumptions!$B$4),1,0)</f>
        <v/>
      </c>
      <c r="L796" s="3">
        <f>I796*K796</f>
        <v/>
      </c>
      <c r="M796">
        <f>SUM($K$2:K796)</f>
        <v/>
      </c>
    </row>
    <row r="797">
      <c r="A797" t="inlineStr">
        <is>
          <t>420091</t>
        </is>
      </c>
      <c r="B797" t="inlineStr">
        <is>
          <t>Musc Health Florence Medical Center</t>
        </is>
      </c>
      <c r="C797" t="inlineStr">
        <is>
          <t>SC</t>
        </is>
      </c>
      <c r="D797" t="inlineStr">
        <is>
          <t>Metropolitan</t>
        </is>
      </c>
      <c r="E797" s="5" t="n">
        <v>1740</v>
      </c>
      <c r="F797" s="4" t="n">
        <v>0.6241379310344828</v>
      </c>
      <c r="G797" s="4" t="n">
        <v>0.6300676196599972</v>
      </c>
      <c r="H797" s="3" t="n">
        <v>23872946.39009412</v>
      </c>
      <c r="I797" s="3" t="n">
        <v>112172.0910635777</v>
      </c>
      <c r="J797" s="4" t="n">
        <v>0.0046987116391348</v>
      </c>
      <c r="K797">
        <f>IF(AND(I797&gt;0,J797&gt;=Assumptions!$B$4),1,0)</f>
        <v/>
      </c>
      <c r="L797" s="3">
        <f>I797*K797</f>
        <v/>
      </c>
      <c r="M797">
        <f>SUM($K$2:K797)</f>
        <v/>
      </c>
    </row>
    <row r="798">
      <c r="A798" t="inlineStr">
        <is>
          <t>110229</t>
        </is>
      </c>
      <c r="B798" t="inlineStr">
        <is>
          <t>Piedmont Newnan Hospital, Inc</t>
        </is>
      </c>
      <c r="C798" t="inlineStr">
        <is>
          <t>GA</t>
        </is>
      </c>
      <c r="D798" t="inlineStr">
        <is>
          <t>Metropolitan</t>
        </is>
      </c>
      <c r="E798" s="5" t="n">
        <v>1587</v>
      </c>
      <c r="F798" s="4" t="n">
        <v>0.6729678638941399</v>
      </c>
      <c r="G798" s="4" t="n">
        <v>0.673858408082087</v>
      </c>
      <c r="H798" s="3" t="n">
        <v>23666162.50967487</v>
      </c>
      <c r="I798" s="3" t="n">
        <v>110974.9718245044</v>
      </c>
      <c r="J798" s="4" t="n">
        <v>0.0046891832074227</v>
      </c>
      <c r="K798">
        <f>IF(AND(I798&gt;0,J798&gt;=Assumptions!$B$4),1,0)</f>
        <v/>
      </c>
      <c r="L798" s="3">
        <f>I798*K798</f>
        <v/>
      </c>
      <c r="M798">
        <f>SUM($K$2:K798)</f>
        <v/>
      </c>
    </row>
    <row r="799">
      <c r="A799" t="inlineStr">
        <is>
          <t>410005</t>
        </is>
      </c>
      <c r="B799" t="inlineStr">
        <is>
          <t>Our Lady Of Fatima Hospital</t>
        </is>
      </c>
      <c r="C799" t="inlineStr">
        <is>
          <t>RI</t>
        </is>
      </c>
      <c r="D799" t="inlineStr">
        <is>
          <t>Metropolitan</t>
        </is>
      </c>
      <c r="E799" s="5" t="n">
        <v>393</v>
      </c>
      <c r="F799" s="4" t="n">
        <v>0.6539440203562341</v>
      </c>
      <c r="G799" s="4" t="n">
        <v>0.6433942175504153</v>
      </c>
      <c r="H799" s="3" t="n">
        <v>5839968.80441752</v>
      </c>
      <c r="I799" s="3" t="n">
        <v>110174.6921388134</v>
      </c>
      <c r="J799" s="4" t="n">
        <v>0.0188656302505373</v>
      </c>
      <c r="K799">
        <f>IF(AND(I799&gt;0,J799&gt;=Assumptions!$B$4),1,0)</f>
        <v/>
      </c>
      <c r="L799" s="3">
        <f>I799*K799</f>
        <v/>
      </c>
      <c r="M799">
        <f>SUM($K$2:K799)</f>
        <v/>
      </c>
    </row>
    <row r="800">
      <c r="A800" t="inlineStr">
        <is>
          <t>140046</t>
        </is>
      </c>
      <c r="B800" t="inlineStr">
        <is>
          <t>Good Samaritan Regional Hlth Center</t>
        </is>
      </c>
      <c r="C800" t="inlineStr">
        <is>
          <t>IL</t>
        </is>
      </c>
      <c r="D800" t="inlineStr">
        <is>
          <t>Micropolitan</t>
        </is>
      </c>
      <c r="E800" s="5" t="n">
        <v>1508</v>
      </c>
      <c r="F800" s="4" t="n">
        <v>0.6061007957559682</v>
      </c>
      <c r="G800" s="4" t="n">
        <v>0.5931446572987796</v>
      </c>
      <c r="H800" s="3" t="n">
        <v>20020235.15110591</v>
      </c>
      <c r="I800" s="3" t="n">
        <v>110089.2449338213</v>
      </c>
      <c r="J800" s="4" t="n">
        <v>0.0054988986943912</v>
      </c>
      <c r="K800">
        <f>IF(AND(I800&gt;0,J800&gt;=Assumptions!$B$4),1,0)</f>
        <v/>
      </c>
      <c r="L800" s="3">
        <f>I800*K800</f>
        <v/>
      </c>
      <c r="M800">
        <f>SUM($K$2:K800)</f>
        <v/>
      </c>
    </row>
    <row r="801">
      <c r="A801" t="inlineStr">
        <is>
          <t>310110</t>
        </is>
      </c>
      <c r="B801" t="inlineStr">
        <is>
          <t>Robert Wood Johnson University Hospital Hamilton</t>
        </is>
      </c>
      <c r="C801" t="inlineStr">
        <is>
          <t>NJ</t>
        </is>
      </c>
      <c r="D801" t="inlineStr">
        <is>
          <t>Metropolitan</t>
        </is>
      </c>
      <c r="E801" s="5" t="n">
        <v>1471</v>
      </c>
      <c r="F801" s="4" t="n">
        <v>0.6430999320190347</v>
      </c>
      <c r="G801" s="4" t="n">
        <v>0.6427624136218264</v>
      </c>
      <c r="H801" s="3" t="n">
        <v>20455427.72539873</v>
      </c>
      <c r="I801" s="3" t="n">
        <v>109639.780633308</v>
      </c>
      <c r="J801" s="4" t="n">
        <v>0.0053599358617748</v>
      </c>
      <c r="K801">
        <f>IF(AND(I801&gt;0,J801&gt;=Assumptions!$B$4),1,0)</f>
        <v/>
      </c>
      <c r="L801" s="3">
        <f>I801*K801</f>
        <v/>
      </c>
      <c r="M801">
        <f>SUM($K$2:K801)</f>
        <v/>
      </c>
    </row>
    <row r="802">
      <c r="A802" t="inlineStr">
        <is>
          <t>340145</t>
        </is>
      </c>
      <c r="B802" t="inlineStr">
        <is>
          <t>Atrium Health Lincoln</t>
        </is>
      </c>
      <c r="C802" t="inlineStr">
        <is>
          <t>NC</t>
        </is>
      </c>
      <c r="D802" t="inlineStr">
        <is>
          <t>Micropolitan</t>
        </is>
      </c>
      <c r="E802" s="5" t="n">
        <v>671</v>
      </c>
      <c r="F802" s="4" t="n">
        <v>0.6274217585692996</v>
      </c>
      <c r="G802" s="4" t="n">
        <v>0.6702301851942192</v>
      </c>
      <c r="H802" s="3" t="n">
        <v>8121727.199832189</v>
      </c>
      <c r="I802" s="3" t="n">
        <v>108698.9774880614</v>
      </c>
      <c r="J802" s="4" t="n">
        <v>0.0133837267386064</v>
      </c>
      <c r="K802">
        <f>IF(AND(I802&gt;0,J802&gt;=Assumptions!$B$4),1,0)</f>
        <v/>
      </c>
      <c r="L802" s="3">
        <f>I802*K802</f>
        <v/>
      </c>
      <c r="M802">
        <f>SUM($K$2:K802)</f>
        <v/>
      </c>
    </row>
    <row r="803">
      <c r="A803" t="inlineStr">
        <is>
          <t>050283</t>
        </is>
      </c>
      <c r="B803" t="inlineStr">
        <is>
          <t>Stanford Health Care - Valleycare</t>
        </is>
      </c>
      <c r="C803" t="inlineStr">
        <is>
          <t>CA</t>
        </is>
      </c>
      <c r="D803" t="inlineStr">
        <is>
          <t>Metropolitan</t>
        </is>
      </c>
      <c r="E803" s="5" t="n">
        <v>1461</v>
      </c>
      <c r="F803" s="4" t="n">
        <v>0.6454483230663929</v>
      </c>
      <c r="G803" s="4" t="n">
        <v>0.6182395595950554</v>
      </c>
      <c r="H803" s="3" t="n">
        <v>26830865.52583864</v>
      </c>
      <c r="I803" s="3" t="n">
        <v>107812.2980710082</v>
      </c>
      <c r="J803" s="4" t="n">
        <v>0.0040182191650576</v>
      </c>
      <c r="K803">
        <f>IF(AND(I803&gt;0,J803&gt;=Assumptions!$B$4),1,0)</f>
        <v/>
      </c>
      <c r="L803" s="3">
        <f>I803*K803</f>
        <v/>
      </c>
      <c r="M803">
        <f>SUM($K$2:K803)</f>
        <v/>
      </c>
    </row>
    <row r="804">
      <c r="A804" t="inlineStr">
        <is>
          <t>390219</t>
        </is>
      </c>
      <c r="B804" t="inlineStr">
        <is>
          <t>Excela Health Latrobe Hospital</t>
        </is>
      </c>
      <c r="C804" t="inlineStr">
        <is>
          <t>PA</t>
        </is>
      </c>
      <c r="D804" t="inlineStr">
        <is>
          <t>Metropolitan</t>
        </is>
      </c>
      <c r="E804" s="5" t="n">
        <v>490</v>
      </c>
      <c r="F804" s="4" t="n">
        <v>0.6653061224489796</v>
      </c>
      <c r="G804" s="4" t="n">
        <v>0.667863656533905</v>
      </c>
      <c r="H804" s="3" t="n">
        <v>7931087.788726833</v>
      </c>
      <c r="I804" s="3" t="n">
        <v>107500.5984249096</v>
      </c>
      <c r="J804" s="4" t="n">
        <v>0.0135543321784572</v>
      </c>
      <c r="K804">
        <f>IF(AND(I804&gt;0,J804&gt;=Assumptions!$B$4),1,0)</f>
        <v/>
      </c>
      <c r="L804" s="3">
        <f>I804*K804</f>
        <v/>
      </c>
      <c r="M804">
        <f>SUM($K$2:K804)</f>
        <v/>
      </c>
    </row>
    <row r="805">
      <c r="A805" t="inlineStr">
        <is>
          <t>430012</t>
        </is>
      </c>
      <c r="B805" t="inlineStr">
        <is>
          <t>Avera Sacred Heart Hospital</t>
        </is>
      </c>
      <c r="C805" t="inlineStr">
        <is>
          <t>SD</t>
        </is>
      </c>
      <c r="D805" t="inlineStr">
        <is>
          <t>Micropolitan</t>
        </is>
      </c>
      <c r="E805" s="5" t="n">
        <v>558</v>
      </c>
      <c r="F805" s="4" t="n">
        <v>0.5197132616487455</v>
      </c>
      <c r="G805" s="4" t="n">
        <v>0.5788884275164445</v>
      </c>
      <c r="H805" s="3" t="n">
        <v>8045659.795939008</v>
      </c>
      <c r="I805" s="3" t="n">
        <v>107383.6848492054</v>
      </c>
      <c r="J805" s="4" t="n">
        <v>0.0133467841759114</v>
      </c>
      <c r="K805">
        <f>IF(AND(I805&gt;0,J805&gt;=Assumptions!$B$4),1,0)</f>
        <v/>
      </c>
      <c r="L805" s="3">
        <f>I805*K805</f>
        <v/>
      </c>
      <c r="M805">
        <f>SUM($K$2:K805)</f>
        <v/>
      </c>
    </row>
    <row r="806">
      <c r="A806" t="inlineStr">
        <is>
          <t>140162</t>
        </is>
      </c>
      <c r="B806" t="inlineStr">
        <is>
          <t>St Joseph Medical Center</t>
        </is>
      </c>
      <c r="C806" t="inlineStr">
        <is>
          <t>IL</t>
        </is>
      </c>
      <c r="D806" t="inlineStr">
        <is>
          <t>Metropolitan</t>
        </is>
      </c>
      <c r="E806" s="5" t="n">
        <v>1267</v>
      </c>
      <c r="F806" s="4" t="n">
        <v>0.5951065509076559</v>
      </c>
      <c r="G806" s="4" t="n">
        <v>0.6238189103102197</v>
      </c>
      <c r="H806" s="3" t="n">
        <v>17218947.19293113</v>
      </c>
      <c r="I806" s="3" t="n">
        <v>107170.7296642326</v>
      </c>
      <c r="J806" s="4" t="n">
        <v>0.0062240001356313</v>
      </c>
      <c r="K806">
        <f>IF(AND(I806&gt;0,J806&gt;=Assumptions!$B$4),1,0)</f>
        <v/>
      </c>
      <c r="L806" s="3">
        <f>I806*K806</f>
        <v/>
      </c>
      <c r="M806">
        <f>SUM($K$2:K806)</f>
        <v/>
      </c>
    </row>
    <row r="807">
      <c r="A807" t="inlineStr">
        <is>
          <t>150133</t>
        </is>
      </c>
      <c r="B807" t="inlineStr">
        <is>
          <t>Lutheran Kosciusko Hospital</t>
        </is>
      </c>
      <c r="C807" t="inlineStr">
        <is>
          <t>IN</t>
        </is>
      </c>
      <c r="D807" t="inlineStr">
        <is>
          <t>Micropolitan</t>
        </is>
      </c>
      <c r="E807" s="5" t="n">
        <v>331</v>
      </c>
      <c r="F807" s="4" t="n">
        <v>0.622356495468278</v>
      </c>
      <c r="G807" s="4" t="n">
        <v>0.6976594288789341</v>
      </c>
      <c r="H807" s="3" t="n">
        <v>4077195.171860321</v>
      </c>
      <c r="I807" s="3" t="n">
        <v>106746.1961991172</v>
      </c>
      <c r="J807" s="4" t="n">
        <v>0.0261812819106257</v>
      </c>
      <c r="K807">
        <f>IF(AND(I807&gt;0,J807&gt;=Assumptions!$B$4),1,0)</f>
        <v/>
      </c>
      <c r="L807" s="3">
        <f>I807*K807</f>
        <v/>
      </c>
      <c r="M807">
        <f>SUM($K$2:K807)</f>
        <v/>
      </c>
    </row>
    <row r="808">
      <c r="A808" t="inlineStr">
        <is>
          <t>320004</t>
        </is>
      </c>
      <c r="B808" t="inlineStr">
        <is>
          <t>Gerald Champion Regional Medical Center</t>
        </is>
      </c>
      <c r="C808" t="inlineStr">
        <is>
          <t>NM</t>
        </is>
      </c>
      <c r="D808" t="inlineStr">
        <is>
          <t>Micropolitan</t>
        </is>
      </c>
      <c r="E808" s="5" t="n">
        <v>357</v>
      </c>
      <c r="F808" s="4" t="n">
        <v>0.6106442577030813</v>
      </c>
      <c r="G808" s="4" t="n">
        <v>0.649914384041951</v>
      </c>
      <c r="H808" s="3" t="n">
        <v>4885986.710935783</v>
      </c>
      <c r="I808" s="3" t="n">
        <v>106476.4528726116</v>
      </c>
      <c r="J808" s="4" t="n">
        <v>0.0217922109027224</v>
      </c>
      <c r="K808">
        <f>IF(AND(I808&gt;0,J808&gt;=Assumptions!$B$4),1,0)</f>
        <v/>
      </c>
      <c r="L808" s="3">
        <f>I808*K808</f>
        <v/>
      </c>
      <c r="M808">
        <f>SUM($K$2:K808)</f>
        <v/>
      </c>
    </row>
    <row r="809">
      <c r="A809" t="inlineStr">
        <is>
          <t>150157</t>
        </is>
      </c>
      <c r="B809" t="inlineStr">
        <is>
          <t>Ascension St Vincent Carmel</t>
        </is>
      </c>
      <c r="C809" t="inlineStr">
        <is>
          <t>IN</t>
        </is>
      </c>
      <c r="D809" t="inlineStr">
        <is>
          <t>Metropolitan</t>
        </is>
      </c>
      <c r="E809" s="5" t="n">
        <v>473</v>
      </c>
      <c r="F809" s="4" t="n">
        <v>0.5306553911205074</v>
      </c>
      <c r="G809" s="4" t="n">
        <v>0.5244716371838888</v>
      </c>
      <c r="H809" s="3" t="n">
        <v>8669758.471608113</v>
      </c>
      <c r="I809" s="3" t="n">
        <v>106368.3664525133</v>
      </c>
      <c r="J809" s="4" t="n">
        <v>0.0122688961636994</v>
      </c>
      <c r="K809">
        <f>IF(AND(I809&gt;0,J809&gt;=Assumptions!$B$4),1,0)</f>
        <v/>
      </c>
      <c r="L809" s="3">
        <f>I809*K809</f>
        <v/>
      </c>
      <c r="M809">
        <f>SUM($K$2:K809)</f>
        <v/>
      </c>
    </row>
    <row r="810">
      <c r="A810" t="inlineStr">
        <is>
          <t>250097</t>
        </is>
      </c>
      <c r="B810" t="inlineStr">
        <is>
          <t>Southwest Ms Regional Medical Center</t>
        </is>
      </c>
      <c r="C810" t="inlineStr">
        <is>
          <t>MS</t>
        </is>
      </c>
      <c r="D810" t="inlineStr">
        <is>
          <t>Micropolitan</t>
        </is>
      </c>
      <c r="E810" s="5" t="n">
        <v>751</v>
      </c>
      <c r="F810" s="4" t="n">
        <v>0.6205059920106525</v>
      </c>
      <c r="G810" s="4" t="n">
        <v>0.6528648688696275</v>
      </c>
      <c r="H810" s="3" t="n">
        <v>10295682.40040385</v>
      </c>
      <c r="I810" s="3" t="n">
        <v>105899.0061243586</v>
      </c>
      <c r="J810" s="4" t="n">
        <v>0.0102857685392669</v>
      </c>
      <c r="K810">
        <f>IF(AND(I810&gt;0,J810&gt;=Assumptions!$B$4),1,0)</f>
        <v/>
      </c>
      <c r="L810" s="3">
        <f>I810*K810</f>
        <v/>
      </c>
      <c r="M810">
        <f>SUM($K$2:K810)</f>
        <v/>
      </c>
    </row>
    <row r="811">
      <c r="A811" t="inlineStr">
        <is>
          <t>390004</t>
        </is>
      </c>
      <c r="B811" t="inlineStr">
        <is>
          <t>Penn State Health Holy Spirit Medical Center</t>
        </is>
      </c>
      <c r="C811" t="inlineStr">
        <is>
          <t>PA</t>
        </is>
      </c>
      <c r="D811" t="inlineStr">
        <is>
          <t>Metropolitan</t>
        </is>
      </c>
      <c r="E811" s="5" t="n">
        <v>1538</v>
      </c>
      <c r="F811" s="4" t="n">
        <v>0.5390117035110533</v>
      </c>
      <c r="G811" s="4" t="n">
        <v>0.5671762882034055</v>
      </c>
      <c r="H811" s="3" t="n">
        <v>22135857.3659282</v>
      </c>
      <c r="I811" s="3" t="n">
        <v>105855.7301986255</v>
      </c>
      <c r="J811" s="4" t="n">
        <v>0.0047820930740889</v>
      </c>
      <c r="K811">
        <f>IF(AND(I811&gt;0,J811&gt;=Assumptions!$B$4),1,0)</f>
        <v/>
      </c>
      <c r="L811" s="3">
        <f>I811*K811</f>
        <v/>
      </c>
      <c r="M811">
        <f>SUM($K$2:K811)</f>
        <v/>
      </c>
    </row>
    <row r="812">
      <c r="A812" t="inlineStr">
        <is>
          <t>140224</t>
        </is>
      </c>
      <c r="B812" t="inlineStr">
        <is>
          <t>Presence Saint Joseph Hospital - Chicago</t>
        </is>
      </c>
      <c r="C812" t="inlineStr">
        <is>
          <t>IL</t>
        </is>
      </c>
      <c r="D812" t="inlineStr">
        <is>
          <t>Metropolitan</t>
        </is>
      </c>
      <c r="E812" s="5" t="n">
        <v>775</v>
      </c>
      <c r="F812" s="4" t="n">
        <v>0.3896774193548387</v>
      </c>
      <c r="G812" s="4" t="n">
        <v>0.4261107190441313</v>
      </c>
      <c r="H812" s="3" t="n">
        <v>9352243.112826183</v>
      </c>
      <c r="I812" s="3" t="n">
        <v>105764.1671273932</v>
      </c>
      <c r="J812" s="4" t="n">
        <v>0.0113089625506358</v>
      </c>
      <c r="K812">
        <f>IF(AND(I812&gt;0,J812&gt;=Assumptions!$B$4),1,0)</f>
        <v/>
      </c>
      <c r="L812" s="3">
        <f>I812*K812</f>
        <v/>
      </c>
      <c r="M812">
        <f>SUM($K$2:K812)</f>
        <v/>
      </c>
    </row>
    <row r="813">
      <c r="A813" t="inlineStr">
        <is>
          <t>490033</t>
        </is>
      </c>
      <c r="B813" t="inlineStr">
        <is>
          <t>Warren Memorial Hospital</t>
        </is>
      </c>
      <c r="C813" t="inlineStr">
        <is>
          <t>VA</t>
        </is>
      </c>
      <c r="D813" t="inlineStr">
        <is>
          <t>Micropolitan</t>
        </is>
      </c>
      <c r="E813" s="5" t="n">
        <v>468</v>
      </c>
      <c r="F813" s="4" t="n">
        <v>0.5491452991452992</v>
      </c>
      <c r="G813" s="4" t="n">
        <v>0.6006121088848452</v>
      </c>
      <c r="H813" s="3" t="n">
        <v>5443071.214043657</v>
      </c>
      <c r="I813" s="3" t="n">
        <v>105182.7647143854</v>
      </c>
      <c r="J813" s="4" t="n">
        <v>0.0193241573696488</v>
      </c>
      <c r="K813">
        <f>IF(AND(I813&gt;0,J813&gt;=Assumptions!$B$4),1,0)</f>
        <v/>
      </c>
      <c r="L813" s="3">
        <f>I813*K813</f>
        <v/>
      </c>
      <c r="M813">
        <f>SUM($K$2:K813)</f>
        <v/>
      </c>
    </row>
    <row r="814">
      <c r="A814" t="inlineStr">
        <is>
          <t>670108</t>
        </is>
      </c>
      <c r="B814" t="inlineStr">
        <is>
          <t>Baylor Scott &amp; White Medical Center - Marble Falls</t>
        </is>
      </c>
      <c r="C814" t="inlineStr">
        <is>
          <t>TX</t>
        </is>
      </c>
      <c r="D814" t="inlineStr">
        <is>
          <t>Small town</t>
        </is>
      </c>
      <c r="E814" s="5" t="n">
        <v>341</v>
      </c>
      <c r="F814" s="4" t="n">
        <v>0.6832844574780058</v>
      </c>
      <c r="G814" s="4" t="n">
        <v>0.7027343047429739</v>
      </c>
      <c r="H814" s="3" t="n">
        <v>4439658.228427941</v>
      </c>
      <c r="I814" s="3" t="n">
        <v>103619.6325981589</v>
      </c>
      <c r="J814" s="4" t="n">
        <v>0.0233395516651852</v>
      </c>
      <c r="K814">
        <f>IF(AND(I814&gt;0,J814&gt;=Assumptions!$B$4),1,0)</f>
        <v/>
      </c>
      <c r="L814" s="3">
        <f>I814*K814</f>
        <v/>
      </c>
      <c r="M814">
        <f>SUM($K$2:K814)</f>
        <v/>
      </c>
    </row>
    <row r="815">
      <c r="A815" t="inlineStr">
        <is>
          <t>320009</t>
        </is>
      </c>
      <c r="B815" t="inlineStr">
        <is>
          <t>Lovelace Medical Center</t>
        </is>
      </c>
      <c r="C815" t="inlineStr">
        <is>
          <t>NM</t>
        </is>
      </c>
      <c r="D815" t="inlineStr">
        <is>
          <t>Metropolitan</t>
        </is>
      </c>
      <c r="E815" s="5" t="n">
        <v>1721</v>
      </c>
      <c r="F815" s="4" t="n">
        <v>0.5456130156885531</v>
      </c>
      <c r="G815" s="4" t="n">
        <v>0.5404289642285441</v>
      </c>
      <c r="H815" s="3" t="n">
        <v>36619129.78078873</v>
      </c>
      <c r="I815" s="3" t="n">
        <v>103328.5586377978</v>
      </c>
      <c r="J815" s="4" t="n">
        <v>0.0028217098346232</v>
      </c>
      <c r="K815">
        <f>IF(AND(I815&gt;0,J815&gt;=Assumptions!$B$4),1,0)</f>
        <v/>
      </c>
      <c r="L815" s="3">
        <f>I815*K815</f>
        <v/>
      </c>
      <c r="M815">
        <f>SUM($K$2:K815)</f>
        <v/>
      </c>
    </row>
    <row r="816">
      <c r="A816" t="inlineStr">
        <is>
          <t>110095</t>
        </is>
      </c>
      <c r="B816" t="inlineStr">
        <is>
          <t>Tift Regional Medical Center</t>
        </is>
      </c>
      <c r="C816" t="inlineStr">
        <is>
          <t>GA</t>
        </is>
      </c>
      <c r="D816" t="inlineStr">
        <is>
          <t>Micropolitan</t>
        </is>
      </c>
      <c r="E816" s="5" t="n">
        <v>999</v>
      </c>
      <c r="F816" s="4" t="n">
        <v>0.5605605605605606</v>
      </c>
      <c r="G816" s="4" t="n">
        <v>0.5833961337785531</v>
      </c>
      <c r="H816" s="3" t="n">
        <v>12810109.07948174</v>
      </c>
      <c r="I816" s="3" t="n">
        <v>102698.8147864156</v>
      </c>
      <c r="J816" s="4" t="n">
        <v>0.0080170132938922</v>
      </c>
      <c r="K816">
        <f>IF(AND(I816&gt;0,J816&gt;=Assumptions!$B$4),1,0)</f>
        <v/>
      </c>
      <c r="L816" s="3">
        <f>I816*K816</f>
        <v/>
      </c>
      <c r="M816">
        <f>SUM($K$2:K816)</f>
        <v/>
      </c>
    </row>
    <row r="817">
      <c r="A817" t="inlineStr">
        <is>
          <t>340064</t>
        </is>
      </c>
      <c r="B817" t="inlineStr">
        <is>
          <t>Wilkes Regional Medical Center</t>
        </is>
      </c>
      <c r="C817" t="inlineStr">
        <is>
          <t>NC</t>
        </is>
      </c>
      <c r="D817" t="inlineStr">
        <is>
          <t>Micropolitan</t>
        </is>
      </c>
      <c r="E817" s="5" t="n">
        <v>427</v>
      </c>
      <c r="F817" s="4" t="n">
        <v>0.5597189695550351</v>
      </c>
      <c r="G817" s="4" t="n">
        <v>0.6534241221092475</v>
      </c>
      <c r="H817" s="3" t="n">
        <v>5272934.394845855</v>
      </c>
      <c r="I817" s="3" t="n">
        <v>102690.0554474788</v>
      </c>
      <c r="J817" s="4" t="n">
        <v>0.0194749351609334</v>
      </c>
      <c r="K817">
        <f>IF(AND(I817&gt;0,J817&gt;=Assumptions!$B$4),1,0)</f>
        <v/>
      </c>
      <c r="L817" s="3">
        <f>I817*K817</f>
        <v/>
      </c>
      <c r="M817">
        <f>SUM($K$2:K817)</f>
        <v/>
      </c>
    </row>
    <row r="818">
      <c r="A818" t="inlineStr">
        <is>
          <t>230069</t>
        </is>
      </c>
      <c r="B818" t="inlineStr">
        <is>
          <t>Trinity Health Livingston Hospital</t>
        </is>
      </c>
      <c r="C818" t="inlineStr">
        <is>
          <t>MI</t>
        </is>
      </c>
      <c r="D818" t="inlineStr">
        <is>
          <t>Metropolitan</t>
        </is>
      </c>
      <c r="E818" s="5" t="n">
        <v>637</v>
      </c>
      <c r="F818" s="4" t="n">
        <v>0.6687598116169545</v>
      </c>
      <c r="G818" s="4" t="n">
        <v>0.6817192018687527</v>
      </c>
      <c r="H818" s="3" t="n">
        <v>8069317.601046461</v>
      </c>
      <c r="I818" s="3" t="n">
        <v>102650.6293058125</v>
      </c>
      <c r="J818" s="4" t="n">
        <v>0.0127211041107739</v>
      </c>
      <c r="K818">
        <f>IF(AND(I818&gt;0,J818&gt;=Assumptions!$B$4),1,0)</f>
        <v/>
      </c>
      <c r="L818" s="3">
        <f>I818*K818</f>
        <v/>
      </c>
      <c r="M818">
        <f>SUM($K$2:K818)</f>
        <v/>
      </c>
    </row>
    <row r="819">
      <c r="A819" t="inlineStr">
        <is>
          <t>150125</t>
        </is>
      </c>
      <c r="B819" t="inlineStr">
        <is>
          <t>Community Hospital</t>
        </is>
      </c>
      <c r="C819" t="inlineStr">
        <is>
          <t>IN</t>
        </is>
      </c>
      <c r="D819" t="inlineStr">
        <is>
          <t>Metropolitan</t>
        </is>
      </c>
      <c r="E819" s="5" t="n">
        <v>4380</v>
      </c>
      <c r="F819" s="4" t="n">
        <v>0.5659817351598173</v>
      </c>
      <c r="G819" s="4" t="n">
        <v>0.5680354765653827</v>
      </c>
      <c r="H819" s="3" t="n">
        <v>74505476.40763453</v>
      </c>
      <c r="I819" s="3" t="n">
        <v>99684.93977056444</v>
      </c>
      <c r="J819" s="4" t="n">
        <v>0.0013379545313577</v>
      </c>
      <c r="K819">
        <f>IF(AND(I819&gt;0,J819&gt;=Assumptions!$B$4),1,0)</f>
        <v/>
      </c>
      <c r="L819" s="3">
        <f>I819*K819</f>
        <v/>
      </c>
      <c r="M819">
        <f>SUM($K$2:K819)</f>
        <v/>
      </c>
    </row>
    <row r="820">
      <c r="A820" t="inlineStr">
        <is>
          <t>220011</t>
        </is>
      </c>
      <c r="B820" t="inlineStr">
        <is>
          <t>Cambridge Health Alliance</t>
        </is>
      </c>
      <c r="C820" t="inlineStr">
        <is>
          <t>MA</t>
        </is>
      </c>
      <c r="D820" t="inlineStr">
        <is>
          <t>Metropolitan</t>
        </is>
      </c>
      <c r="E820" s="5" t="n">
        <v>572</v>
      </c>
      <c r="F820" s="4" t="n">
        <v>0.6888111888111889</v>
      </c>
      <c r="G820" s="4" t="n">
        <v>0.7133283793034747</v>
      </c>
      <c r="H820" s="3" t="n">
        <v>7671142.366995675</v>
      </c>
      <c r="I820" s="3" t="n">
        <v>98543.68908364233</v>
      </c>
      <c r="J820" s="4" t="n">
        <v>0.0128460253205072</v>
      </c>
      <c r="K820">
        <f>IF(AND(I820&gt;0,J820&gt;=Assumptions!$B$4),1,0)</f>
        <v/>
      </c>
      <c r="L820" s="3">
        <f>I820*K820</f>
        <v/>
      </c>
      <c r="M820">
        <f>SUM($K$2:K820)</f>
        <v/>
      </c>
    </row>
    <row r="821">
      <c r="A821" t="inlineStr">
        <is>
          <t>500154</t>
        </is>
      </c>
      <c r="B821" t="inlineStr">
        <is>
          <t>Multicare Covington Medical Center</t>
        </is>
      </c>
      <c r="C821" t="inlineStr">
        <is>
          <t>WA</t>
        </is>
      </c>
      <c r="D821" t="inlineStr">
        <is>
          <t>Metropolitan</t>
        </is>
      </c>
      <c r="E821" s="5" t="n">
        <v>301</v>
      </c>
      <c r="F821" s="4" t="n">
        <v>0.6644518272425249</v>
      </c>
      <c r="G821" s="4" t="n">
        <v>0.7079875081717596</v>
      </c>
      <c r="H821" s="3" t="n">
        <v>3787286.860689492</v>
      </c>
      <c r="I821" s="3" t="n">
        <v>97364.46126439376</v>
      </c>
      <c r="J821" s="4" t="n">
        <v>0.0257082351682935</v>
      </c>
      <c r="K821">
        <f>IF(AND(I821&gt;0,J821&gt;=Assumptions!$B$4),1,0)</f>
        <v/>
      </c>
      <c r="L821" s="3">
        <f>I821*K821</f>
        <v/>
      </c>
      <c r="M821">
        <f>SUM($K$2:K821)</f>
        <v/>
      </c>
    </row>
    <row r="822">
      <c r="A822" t="inlineStr">
        <is>
          <t>390041</t>
        </is>
      </c>
      <c r="B822" t="inlineStr">
        <is>
          <t>Uniontown Hospital</t>
        </is>
      </c>
      <c r="C822" t="inlineStr">
        <is>
          <t>PA</t>
        </is>
      </c>
      <c r="D822" t="inlineStr">
        <is>
          <t>Metropolitan</t>
        </is>
      </c>
      <c r="E822" s="5" t="n">
        <v>864</v>
      </c>
      <c r="F822" s="4" t="n">
        <v>0.6516203703703703</v>
      </c>
      <c r="G822" s="4" t="n">
        <v>0.6712515608550242</v>
      </c>
      <c r="H822" s="3" t="n">
        <v>11023499.61114009</v>
      </c>
      <c r="I822" s="3" t="n">
        <v>97103.42345282808</v>
      </c>
      <c r="J822" s="4" t="n">
        <v>0.008808765535284001</v>
      </c>
      <c r="K822">
        <f>IF(AND(I822&gt;0,J822&gt;=Assumptions!$B$4),1,0)</f>
        <v/>
      </c>
      <c r="L822" s="3">
        <f>I822*K822</f>
        <v/>
      </c>
      <c r="M822">
        <f>SUM($K$2:K822)</f>
        <v/>
      </c>
    </row>
    <row r="823">
      <c r="A823" t="inlineStr">
        <is>
          <t>360172</t>
        </is>
      </c>
      <c r="B823" t="inlineStr">
        <is>
          <t>Mercy Health-Lorain Hospital</t>
        </is>
      </c>
      <c r="C823" t="inlineStr">
        <is>
          <t>OH</t>
        </is>
      </c>
      <c r="D823" t="inlineStr">
        <is>
          <t>Metropolitan</t>
        </is>
      </c>
      <c r="E823" s="5" t="n">
        <v>799</v>
      </c>
      <c r="F823" s="4" t="n">
        <v>0.6120150187734669</v>
      </c>
      <c r="G823" s="4" t="n">
        <v>0.637987343398692</v>
      </c>
      <c r="H823" s="3" t="n">
        <v>10946769.03395481</v>
      </c>
      <c r="I823" s="3" t="n">
        <v>97100.29412226751</v>
      </c>
      <c r="J823" s="4" t="n">
        <v>0.008870224065299999</v>
      </c>
      <c r="K823">
        <f>IF(AND(I823&gt;0,J823&gt;=Assumptions!$B$4),1,0)</f>
        <v/>
      </c>
      <c r="L823" s="3">
        <f>I823*K823</f>
        <v/>
      </c>
      <c r="M823">
        <f>SUM($K$2:K823)</f>
        <v/>
      </c>
    </row>
    <row r="824">
      <c r="A824" t="inlineStr">
        <is>
          <t>010100</t>
        </is>
      </c>
      <c r="B824" t="inlineStr">
        <is>
          <t>Thomas Hospital</t>
        </is>
      </c>
      <c r="C824" t="inlineStr">
        <is>
          <t>AL</t>
        </is>
      </c>
      <c r="D824" t="inlineStr">
        <is>
          <t>Micropolitan</t>
        </is>
      </c>
      <c r="E824" s="5" t="n">
        <v>1652</v>
      </c>
      <c r="F824" s="4" t="n">
        <v>0.4515738498789346</v>
      </c>
      <c r="G824" s="4" t="n">
        <v>0.5267204216049969</v>
      </c>
      <c r="H824" s="3" t="n">
        <v>25703265.77928141</v>
      </c>
      <c r="I824" s="3" t="n">
        <v>96859.81368929148</v>
      </c>
      <c r="J824" s="4" t="n">
        <v>0.0037683854853715</v>
      </c>
      <c r="K824">
        <f>IF(AND(I824&gt;0,J824&gt;=Assumptions!$B$4),1,0)</f>
        <v/>
      </c>
      <c r="L824" s="3">
        <f>I824*K824</f>
        <v/>
      </c>
      <c r="M824">
        <f>SUM($K$2:K824)</f>
        <v/>
      </c>
    </row>
    <row r="825">
      <c r="A825" t="inlineStr">
        <is>
          <t>450867</t>
        </is>
      </c>
      <c r="B825" t="inlineStr">
        <is>
          <t>Ascension Seton Northwest</t>
        </is>
      </c>
      <c r="C825" t="inlineStr">
        <is>
          <t>TX</t>
        </is>
      </c>
      <c r="D825" t="inlineStr">
        <is>
          <t>Metropolitan</t>
        </is>
      </c>
      <c r="E825" s="5" t="n">
        <v>366</v>
      </c>
      <c r="F825" s="4" t="n">
        <v>0.6229508196721312</v>
      </c>
      <c r="G825" s="4" t="n">
        <v>0.656666006297815</v>
      </c>
      <c r="H825" s="3" t="n">
        <v>4578835.536670012</v>
      </c>
      <c r="I825" s="3" t="n">
        <v>95258.80060972924</v>
      </c>
      <c r="J825" s="4" t="n">
        <v>0.0208041542105718</v>
      </c>
      <c r="K825">
        <f>IF(AND(I825&gt;0,J825&gt;=Assumptions!$B$4),1,0)</f>
        <v/>
      </c>
      <c r="L825" s="3">
        <f>I825*K825</f>
        <v/>
      </c>
      <c r="M825">
        <f>SUM($K$2:K825)</f>
        <v/>
      </c>
    </row>
    <row r="826">
      <c r="A826" t="inlineStr">
        <is>
          <t>040118</t>
        </is>
      </c>
      <c r="B826" t="inlineStr">
        <is>
          <t>Nea Baptist Memorial Hospital</t>
        </is>
      </c>
      <c r="C826" t="inlineStr">
        <is>
          <t>AR</t>
        </is>
      </c>
      <c r="D826" t="inlineStr">
        <is>
          <t>Metropolitan</t>
        </is>
      </c>
      <c r="E826" s="5" t="n">
        <v>2583</v>
      </c>
      <c r="F826" s="4" t="n">
        <v>0.6027874564459931</v>
      </c>
      <c r="G826" s="4" t="n">
        <v>0.590980672088004</v>
      </c>
      <c r="H826" s="3" t="n">
        <v>35408733.69323646</v>
      </c>
      <c r="I826" s="3" t="n">
        <v>94680.59275305273</v>
      </c>
      <c r="J826" s="4" t="n">
        <v>0.0026739333175062</v>
      </c>
      <c r="K826">
        <f>IF(AND(I826&gt;0,J826&gt;=Assumptions!$B$4),1,0)</f>
        <v/>
      </c>
      <c r="L826" s="3">
        <f>I826*K826</f>
        <v/>
      </c>
      <c r="M826">
        <f>SUM($K$2:K826)</f>
        <v/>
      </c>
    </row>
    <row r="827">
      <c r="A827" t="inlineStr">
        <is>
          <t>310113</t>
        </is>
      </c>
      <c r="B827" t="inlineStr">
        <is>
          <t>Southern Ocean Medical Center</t>
        </is>
      </c>
      <c r="C827" t="inlineStr">
        <is>
          <t>NJ</t>
        </is>
      </c>
      <c r="D827" t="inlineStr">
        <is>
          <t>Metropolitan</t>
        </is>
      </c>
      <c r="E827" s="5" t="n">
        <v>2557</v>
      </c>
      <c r="F827" s="4" t="n">
        <v>0.5827141181071568</v>
      </c>
      <c r="G827" s="4" t="n">
        <v>0.5942112502867242</v>
      </c>
      <c r="H827" s="3" t="n">
        <v>33530897.0636822</v>
      </c>
      <c r="I827" s="3" t="n">
        <v>91373.84056036548</v>
      </c>
      <c r="J827" s="4" t="n">
        <v>0.0027250640025176</v>
      </c>
      <c r="K827">
        <f>IF(AND(I827&gt;0,J827&gt;=Assumptions!$B$4),1,0)</f>
        <v/>
      </c>
      <c r="L827" s="3">
        <f>I827*K827</f>
        <v/>
      </c>
      <c r="M827">
        <f>SUM($K$2:K827)</f>
        <v/>
      </c>
    </row>
    <row r="828">
      <c r="A828" t="inlineStr">
        <is>
          <t>420082</t>
        </is>
      </c>
      <c r="B828" t="inlineStr">
        <is>
          <t>Aiken Regional Medical Center</t>
        </is>
      </c>
      <c r="C828" t="inlineStr">
        <is>
          <t>SC</t>
        </is>
      </c>
      <c r="D828" t="inlineStr">
        <is>
          <t>Metropolitan</t>
        </is>
      </c>
      <c r="E828" s="5" t="n">
        <v>1452</v>
      </c>
      <c r="F828" s="4" t="n">
        <v>0.5909090909090909</v>
      </c>
      <c r="G828" s="4" t="n">
        <v>0.6113305897748811</v>
      </c>
      <c r="H828" s="3" t="n">
        <v>20565646.87371261</v>
      </c>
      <c r="I828" s="3" t="n">
        <v>90615.60427040234</v>
      </c>
      <c r="J828" s="4" t="n">
        <v>0.004406163580793</v>
      </c>
      <c r="K828">
        <f>IF(AND(I828&gt;0,J828&gt;=Assumptions!$B$4),1,0)</f>
        <v/>
      </c>
      <c r="L828" s="3">
        <f>I828*K828</f>
        <v/>
      </c>
      <c r="M828">
        <f>SUM($K$2:K828)</f>
        <v/>
      </c>
    </row>
    <row r="829">
      <c r="A829" t="inlineStr">
        <is>
          <t>190039</t>
        </is>
      </c>
      <c r="B829" t="inlineStr">
        <is>
          <t>West Jefferson Medical Center</t>
        </is>
      </c>
      <c r="C829" t="inlineStr">
        <is>
          <t>LA</t>
        </is>
      </c>
      <c r="D829" t="inlineStr">
        <is>
          <t>Metropolitan</t>
        </is>
      </c>
      <c r="E829" s="5" t="n">
        <v>510</v>
      </c>
      <c r="F829" s="4" t="n">
        <v>0.6745098039215687</v>
      </c>
      <c r="G829" s="4" t="n">
        <v>0.6521319888335372</v>
      </c>
      <c r="H829" s="3" t="n">
        <v>7186518.730076956</v>
      </c>
      <c r="I829" s="3" t="n">
        <v>89885.67212523893</v>
      </c>
      <c r="J829" s="4" t="n">
        <v>0.0125075402293255</v>
      </c>
      <c r="K829">
        <f>IF(AND(I829&gt;0,J829&gt;=Assumptions!$B$4),1,0)</f>
        <v/>
      </c>
      <c r="L829" s="3">
        <f>I829*K829</f>
        <v/>
      </c>
      <c r="M829">
        <f>SUM($K$2:K829)</f>
        <v/>
      </c>
    </row>
    <row r="830">
      <c r="A830" t="inlineStr">
        <is>
          <t>100161</t>
        </is>
      </c>
      <c r="B830" t="inlineStr">
        <is>
          <t>Hca Florida Lake Monroe Hospital</t>
        </is>
      </c>
      <c r="C830" t="inlineStr">
        <is>
          <t>FL</t>
        </is>
      </c>
      <c r="D830" t="inlineStr">
        <is>
          <t>Metropolitan</t>
        </is>
      </c>
      <c r="E830" s="5" t="n">
        <v>781</v>
      </c>
      <c r="F830" s="4" t="n">
        <v>0.5377720870678617</v>
      </c>
      <c r="G830" s="4" t="n">
        <v>0.5456524375780478</v>
      </c>
      <c r="H830" s="3" t="n">
        <v>10855776.05447673</v>
      </c>
      <c r="I830" s="3" t="n">
        <v>88796.3933376763</v>
      </c>
      <c r="J830" s="4" t="n">
        <v>0.008179644909039699</v>
      </c>
      <c r="K830">
        <f>IF(AND(I830&gt;0,J830&gt;=Assumptions!$B$4),1,0)</f>
        <v/>
      </c>
      <c r="L830" s="3">
        <f>I830*K830</f>
        <v/>
      </c>
      <c r="M830">
        <f>SUM($K$2:K830)</f>
        <v/>
      </c>
    </row>
    <row r="831">
      <c r="A831" t="inlineStr">
        <is>
          <t>150097</t>
        </is>
      </c>
      <c r="B831" t="inlineStr">
        <is>
          <t>Major Hospital</t>
        </is>
      </c>
      <c r="C831" t="inlineStr">
        <is>
          <t>IN</t>
        </is>
      </c>
      <c r="D831" t="inlineStr">
        <is>
          <t>Micropolitan</t>
        </is>
      </c>
      <c r="E831" s="5" t="n">
        <v>367</v>
      </c>
      <c r="F831" s="4" t="n">
        <v>0.6757493188010899</v>
      </c>
      <c r="G831" s="4" t="n">
        <v>0.701423239039158</v>
      </c>
      <c r="H831" s="3" t="n">
        <v>4498303.727317667</v>
      </c>
      <c r="I831" s="3" t="n">
        <v>88371.18863451853</v>
      </c>
      <c r="J831" s="4" t="n">
        <v>0.0196454472600084</v>
      </c>
      <c r="K831">
        <f>IF(AND(I831&gt;0,J831&gt;=Assumptions!$B$4),1,0)</f>
        <v/>
      </c>
      <c r="L831" s="3">
        <f>I831*K831</f>
        <v/>
      </c>
      <c r="M831">
        <f>SUM($K$2:K831)</f>
        <v/>
      </c>
    </row>
    <row r="832">
      <c r="A832" t="inlineStr">
        <is>
          <t>510070</t>
        </is>
      </c>
      <c r="B832" t="inlineStr">
        <is>
          <t>Raleigh General Hospital</t>
        </is>
      </c>
      <c r="C832" t="inlineStr">
        <is>
          <t>WV</t>
        </is>
      </c>
      <c r="D832" t="inlineStr">
        <is>
          <t>Metropolitan</t>
        </is>
      </c>
      <c r="E832" s="5" t="n">
        <v>1807</v>
      </c>
      <c r="F832" s="4" t="n">
        <v>0.5921416712783619</v>
      </c>
      <c r="G832" s="4" t="n">
        <v>0.5950678725680471</v>
      </c>
      <c r="H832" s="3" t="n">
        <v>27025945.48459641</v>
      </c>
      <c r="I832" s="3" t="n">
        <v>87835.72956536338</v>
      </c>
      <c r="J832" s="4" t="n">
        <v>0.0032500520514786</v>
      </c>
      <c r="K832">
        <f>IF(AND(I832&gt;0,J832&gt;=Assumptions!$B$4),1,0)</f>
        <v/>
      </c>
      <c r="L832" s="3">
        <f>I832*K832</f>
        <v/>
      </c>
      <c r="M832">
        <f>SUM($K$2:K832)</f>
        <v/>
      </c>
    </row>
    <row r="833">
      <c r="A833" t="inlineStr">
        <is>
          <t>340099</t>
        </is>
      </c>
      <c r="B833" t="inlineStr">
        <is>
          <t>Vidant Roanoke Chowan Hospital</t>
        </is>
      </c>
      <c r="C833" t="inlineStr">
        <is>
          <t>NC</t>
        </is>
      </c>
      <c r="D833" t="inlineStr">
        <is>
          <t>Small town</t>
        </is>
      </c>
      <c r="E833" s="5" t="n">
        <v>374</v>
      </c>
      <c r="F833" s="4" t="n">
        <v>0.6336898395721925</v>
      </c>
      <c r="G833" s="4" t="n">
        <v>0.666845721087525</v>
      </c>
      <c r="H833" s="3" t="n">
        <v>4773259.46657163</v>
      </c>
      <c r="I833" s="3" t="n">
        <v>87810.92612454202</v>
      </c>
      <c r="J833" s="4" t="n">
        <v>0.0183964284237018</v>
      </c>
      <c r="K833">
        <f>IF(AND(I833&gt;0,J833&gt;=Assumptions!$B$4),1,0)</f>
        <v/>
      </c>
      <c r="L833" s="3">
        <f>I833*K833</f>
        <v/>
      </c>
      <c r="M833">
        <f>SUM($K$2:K833)</f>
        <v/>
      </c>
    </row>
    <row r="834">
      <c r="A834" t="inlineStr">
        <is>
          <t>200039</t>
        </is>
      </c>
      <c r="B834" t="inlineStr">
        <is>
          <t>Mainegeneral Medical Center</t>
        </is>
      </c>
      <c r="C834" t="inlineStr">
        <is>
          <t>ME</t>
        </is>
      </c>
      <c r="D834" t="inlineStr">
        <is>
          <t>Micropolitan</t>
        </is>
      </c>
      <c r="E834" s="5" t="n">
        <v>794</v>
      </c>
      <c r="F834" s="4" t="n">
        <v>0.6007556675062973</v>
      </c>
      <c r="G834" s="4" t="n">
        <v>0.6244804740930364</v>
      </c>
      <c r="H834" s="3" t="n">
        <v>10853895.24587823</v>
      </c>
      <c r="I834" s="3" t="n">
        <v>87352.63757976145</v>
      </c>
      <c r="J834" s="4" t="n">
        <v>0.008048045019868199</v>
      </c>
      <c r="K834">
        <f>IF(AND(I834&gt;0,J834&gt;=Assumptions!$B$4),1,0)</f>
        <v/>
      </c>
      <c r="L834" s="3">
        <f>I834*K834</f>
        <v/>
      </c>
      <c r="M834">
        <f>SUM($K$2:K834)</f>
        <v/>
      </c>
    </row>
    <row r="835">
      <c r="A835" t="inlineStr">
        <is>
          <t>340021</t>
        </is>
      </c>
      <c r="B835" t="inlineStr">
        <is>
          <t>Atrium Health Cleveland</t>
        </is>
      </c>
      <c r="C835" t="inlineStr">
        <is>
          <t>NC</t>
        </is>
      </c>
      <c r="D835" t="inlineStr">
        <is>
          <t>Micropolitan</t>
        </is>
      </c>
      <c r="E835" s="5" t="n">
        <v>1532</v>
      </c>
      <c r="F835" s="4" t="n">
        <v>0.6005221932114883</v>
      </c>
      <c r="G835" s="4" t="n">
        <v>0.5838767895191442</v>
      </c>
      <c r="H835" s="3" t="n">
        <v>19946006.10145441</v>
      </c>
      <c r="I835" s="3" t="n">
        <v>87158.63821153343</v>
      </c>
      <c r="J835" s="4" t="n">
        <v>0.0043697288453741</v>
      </c>
      <c r="K835">
        <f>IF(AND(I835&gt;0,J835&gt;=Assumptions!$B$4),1,0)</f>
        <v/>
      </c>
      <c r="L835" s="3">
        <f>I835*K835</f>
        <v/>
      </c>
      <c r="M835">
        <f>SUM($K$2:K835)</f>
        <v/>
      </c>
    </row>
    <row r="836">
      <c r="A836" t="inlineStr">
        <is>
          <t>190046</t>
        </is>
      </c>
      <c r="B836" t="inlineStr">
        <is>
          <t>Touro Infirmary</t>
        </is>
      </c>
      <c r="C836" t="inlineStr">
        <is>
          <t>LA</t>
        </is>
      </c>
      <c r="D836" t="inlineStr">
        <is>
          <t>Metropolitan</t>
        </is>
      </c>
      <c r="E836" s="5" t="n">
        <v>402</v>
      </c>
      <c r="F836" s="4" t="n">
        <v>0.5796019900497512</v>
      </c>
      <c r="G836" s="4" t="n">
        <v>0.6339968966198399</v>
      </c>
      <c r="H836" s="3" t="n">
        <v>5764799.941839554</v>
      </c>
      <c r="I836" s="3" t="n">
        <v>87132.35560007486</v>
      </c>
      <c r="J836" s="4" t="n">
        <v>0.0151145497639369</v>
      </c>
      <c r="K836">
        <f>IF(AND(I836&gt;0,J836&gt;=Assumptions!$B$4),1,0)</f>
        <v/>
      </c>
      <c r="L836" s="3">
        <f>I836*K836</f>
        <v/>
      </c>
      <c r="M836">
        <f>SUM($K$2:K836)</f>
        <v/>
      </c>
    </row>
    <row r="837">
      <c r="A837" t="inlineStr">
        <is>
          <t>390183</t>
        </is>
      </c>
      <c r="B837" t="inlineStr">
        <is>
          <t>St Luke's Miners Memorial Hospital</t>
        </is>
      </c>
      <c r="C837" t="inlineStr">
        <is>
          <t>PA</t>
        </is>
      </c>
      <c r="D837" t="inlineStr">
        <is>
          <t>Micropolitan</t>
        </is>
      </c>
      <c r="E837" s="5" t="n">
        <v>442</v>
      </c>
      <c r="F837" s="4" t="n">
        <v>0.7171945701357466</v>
      </c>
      <c r="G837" s="4" t="n">
        <v>0.7449028353796855</v>
      </c>
      <c r="H837" s="3" t="n">
        <v>5788464.413190822</v>
      </c>
      <c r="I837" s="3" t="n">
        <v>85825.16079277918</v>
      </c>
      <c r="J837" s="4" t="n">
        <v>0.0148269307136448</v>
      </c>
      <c r="K837">
        <f>IF(AND(I837&gt;0,J837&gt;=Assumptions!$B$4),1,0)</f>
        <v/>
      </c>
      <c r="L837" s="3">
        <f>I837*K837</f>
        <v/>
      </c>
      <c r="M837">
        <f>SUM($K$2:K837)</f>
        <v/>
      </c>
    </row>
    <row r="838">
      <c r="A838" t="inlineStr">
        <is>
          <t>050515</t>
        </is>
      </c>
      <c r="B838" t="inlineStr">
        <is>
          <t>Kaiser Foundation Hospital - Zion</t>
        </is>
      </c>
      <c r="C838" t="inlineStr">
        <is>
          <t>CA</t>
        </is>
      </c>
      <c r="D838" t="inlineStr">
        <is>
          <t>Metropolitan</t>
        </is>
      </c>
      <c r="E838" s="5" t="n">
        <v>379</v>
      </c>
      <c r="F838" s="4" t="n">
        <v>0.6886543535620053</v>
      </c>
      <c r="G838" s="4" t="n">
        <v>0.7346606997638472</v>
      </c>
      <c r="H838" s="3" t="n">
        <v>5895040.636153281</v>
      </c>
      <c r="I838" s="3" t="n">
        <v>85374.19552213512</v>
      </c>
      <c r="J838" s="4" t="n">
        <v>0.0144823760838135</v>
      </c>
      <c r="K838">
        <f>IF(AND(I838&gt;0,J838&gt;=Assumptions!$B$4),1,0)</f>
        <v/>
      </c>
      <c r="L838" s="3">
        <f>I838*K838</f>
        <v/>
      </c>
      <c r="M838">
        <f>SUM($K$2:K838)</f>
        <v/>
      </c>
    </row>
    <row r="839">
      <c r="A839" t="inlineStr">
        <is>
          <t>330264</t>
        </is>
      </c>
      <c r="B839" t="inlineStr">
        <is>
          <t>St Luke's Cornwall Hospital</t>
        </is>
      </c>
      <c r="C839" t="inlineStr">
        <is>
          <t>NY</t>
        </is>
      </c>
      <c r="D839" t="inlineStr">
        <is>
          <t>Metropolitan</t>
        </is>
      </c>
      <c r="E839" s="5" t="n">
        <v>1545</v>
      </c>
      <c r="F839" s="4" t="n">
        <v>0.6051779935275081</v>
      </c>
      <c r="G839" s="4" t="n">
        <v>0.6260755678135159</v>
      </c>
      <c r="H839" s="3" t="n">
        <v>20742705.38072562</v>
      </c>
      <c r="I839" s="3" t="n">
        <v>84820.1826495491</v>
      </c>
      <c r="J839" s="4" t="n">
        <v>0.0040891571804498</v>
      </c>
      <c r="K839">
        <f>IF(AND(I839&gt;0,J839&gt;=Assumptions!$B$4),1,0)</f>
        <v/>
      </c>
      <c r="L839" s="3">
        <f>I839*K839</f>
        <v/>
      </c>
      <c r="M839">
        <f>SUM($K$2:K839)</f>
        <v/>
      </c>
    </row>
    <row r="840">
      <c r="A840" t="inlineStr">
        <is>
          <t>220024</t>
        </is>
      </c>
      <c r="B840" t="inlineStr">
        <is>
          <t>Holyoke Medical Center</t>
        </is>
      </c>
      <c r="C840" t="inlineStr">
        <is>
          <t>MA</t>
        </is>
      </c>
      <c r="D840" t="inlineStr">
        <is>
          <t>Metropolitan</t>
        </is>
      </c>
      <c r="E840" s="5" t="n">
        <v>840</v>
      </c>
      <c r="F840" s="4" t="n">
        <v>0.6892857142857143</v>
      </c>
      <c r="G840" s="4" t="n">
        <v>0.6881684869890071</v>
      </c>
      <c r="H840" s="3" t="n">
        <v>11213310.49986917</v>
      </c>
      <c r="I840" s="3" t="n">
        <v>84502.50710010715</v>
      </c>
      <c r="J840" s="4" t="n">
        <v>0.0075359107465269</v>
      </c>
      <c r="K840">
        <f>IF(AND(I840&gt;0,J840&gt;=Assumptions!$B$4),1,0)</f>
        <v/>
      </c>
      <c r="L840" s="3">
        <f>I840*K840</f>
        <v/>
      </c>
      <c r="M840">
        <f>SUM($K$2:K840)</f>
        <v/>
      </c>
    </row>
    <row r="841">
      <c r="A841" t="inlineStr">
        <is>
          <t>050127</t>
        </is>
      </c>
      <c r="B841" t="inlineStr">
        <is>
          <t>Woodland Memorial Hospital</t>
        </is>
      </c>
      <c r="C841" t="inlineStr">
        <is>
          <t>CA</t>
        </is>
      </c>
      <c r="D841" t="inlineStr">
        <is>
          <t>Metropolitan</t>
        </is>
      </c>
      <c r="E841" s="5" t="n">
        <v>335</v>
      </c>
      <c r="F841" s="4" t="n">
        <v>0.808955223880597</v>
      </c>
      <c r="G841" s="4" t="n">
        <v>0.7481292781326375</v>
      </c>
      <c r="H841" s="3" t="n">
        <v>5585620.432602066</v>
      </c>
      <c r="I841" s="3" t="n">
        <v>83621.123230909</v>
      </c>
      <c r="J841" s="4" t="n">
        <v>0.0149707851150841</v>
      </c>
      <c r="K841">
        <f>IF(AND(I841&gt;0,J841&gt;=Assumptions!$B$4),1,0)</f>
        <v/>
      </c>
      <c r="L841" s="3">
        <f>I841*K841</f>
        <v/>
      </c>
      <c r="M841">
        <f>SUM($K$2:K841)</f>
        <v/>
      </c>
    </row>
    <row r="842">
      <c r="A842" t="inlineStr">
        <is>
          <t>280077</t>
        </is>
      </c>
      <c r="B842" t="inlineStr">
        <is>
          <t>Methodist Fremont Health</t>
        </is>
      </c>
      <c r="C842" t="inlineStr">
        <is>
          <t>NE</t>
        </is>
      </c>
      <c r="D842" t="inlineStr">
        <is>
          <t>Micropolitan</t>
        </is>
      </c>
      <c r="E842" s="5" t="n">
        <v>403</v>
      </c>
      <c r="F842" s="4" t="n">
        <v>0.56575682382134</v>
      </c>
      <c r="G842" s="4" t="n">
        <v>0.6272690220734075</v>
      </c>
      <c r="H842" s="3" t="n">
        <v>5019361.317788064</v>
      </c>
      <c r="I842" s="3" t="n">
        <v>83542.82534459885</v>
      </c>
      <c r="J842" s="4" t="n">
        <v>0.0166441146702335</v>
      </c>
      <c r="K842">
        <f>IF(AND(I842&gt;0,J842&gt;=Assumptions!$B$4),1,0)</f>
        <v/>
      </c>
      <c r="L842" s="3">
        <f>I842*K842</f>
        <v/>
      </c>
      <c r="M842">
        <f>SUM($K$2:K842)</f>
        <v/>
      </c>
    </row>
    <row r="843">
      <c r="A843" t="inlineStr">
        <is>
          <t>520035</t>
        </is>
      </c>
      <c r="B843" t="inlineStr">
        <is>
          <t>Aurora Medical Center Sheboygan County</t>
        </is>
      </c>
      <c r="C843" t="inlineStr">
        <is>
          <t>WI</t>
        </is>
      </c>
      <c r="D843" t="inlineStr">
        <is>
          <t>Metropolitan</t>
        </is>
      </c>
      <c r="E843" s="5" t="n">
        <v>656</v>
      </c>
      <c r="F843" s="4" t="n">
        <v>0.698170731707317</v>
      </c>
      <c r="G843" s="4" t="n">
        <v>0.7168156041578621</v>
      </c>
      <c r="H843" s="3" t="n">
        <v>9143214.750389304</v>
      </c>
      <c r="I843" s="3" t="n">
        <v>83394.40632629208</v>
      </c>
      <c r="J843" s="4" t="n">
        <v>0.0091209064429708</v>
      </c>
      <c r="K843">
        <f>IF(AND(I843&gt;0,J843&gt;=Assumptions!$B$4),1,0)</f>
        <v/>
      </c>
      <c r="L843" s="3">
        <f>I843*K843</f>
        <v/>
      </c>
      <c r="M843">
        <f>SUM($K$2:K843)</f>
        <v/>
      </c>
    </row>
    <row r="844">
      <c r="A844" t="inlineStr">
        <is>
          <t>490042</t>
        </is>
      </c>
      <c r="B844" t="inlineStr">
        <is>
          <t>Carilion New River Valley Medical Center</t>
        </is>
      </c>
      <c r="C844" t="inlineStr">
        <is>
          <t>VA</t>
        </is>
      </c>
      <c r="D844" t="inlineStr">
        <is>
          <t>Metropolitan</t>
        </is>
      </c>
      <c r="E844" s="5" t="n">
        <v>1151</v>
      </c>
      <c r="F844" s="4" t="n">
        <v>0.6029539530842746</v>
      </c>
      <c r="G844" s="4" t="n">
        <v>0.6320737466146021</v>
      </c>
      <c r="H844" s="3" t="n">
        <v>15481363.74289616</v>
      </c>
      <c r="I844" s="3" t="n">
        <v>82963.02651644498</v>
      </c>
      <c r="J844" s="4" t="n">
        <v>0.0053588965348426</v>
      </c>
      <c r="K844">
        <f>IF(AND(I844&gt;0,J844&gt;=Assumptions!$B$4),1,0)</f>
        <v/>
      </c>
      <c r="L844" s="3">
        <f>I844*K844</f>
        <v/>
      </c>
      <c r="M844">
        <f>SUM($K$2:K844)</f>
        <v/>
      </c>
    </row>
    <row r="845">
      <c r="A845" t="inlineStr">
        <is>
          <t>510013</t>
        </is>
      </c>
      <c r="B845" t="inlineStr">
        <is>
          <t>Reynolds Memorial Hospital</t>
        </is>
      </c>
      <c r="C845" t="inlineStr">
        <is>
          <t>WV</t>
        </is>
      </c>
      <c r="D845" t="inlineStr">
        <is>
          <t>Metropolitan</t>
        </is>
      </c>
      <c r="E845" s="5" t="n">
        <v>317</v>
      </c>
      <c r="F845" s="4" t="n">
        <v>0.6025236593059937</v>
      </c>
      <c r="G845" s="4" t="n">
        <v>0.6742602727547757</v>
      </c>
      <c r="H845" s="3" t="n">
        <v>3760011.911478655</v>
      </c>
      <c r="I845" s="3" t="n">
        <v>82571.35115122749</v>
      </c>
      <c r="J845" s="4" t="n">
        <v>0.0219603961623503</v>
      </c>
      <c r="K845">
        <f>IF(AND(I845&gt;0,J845&gt;=Assumptions!$B$4),1,0)</f>
        <v/>
      </c>
      <c r="L845" s="3">
        <f>I845*K845</f>
        <v/>
      </c>
      <c r="M845">
        <f>SUM($K$2:K845)</f>
        <v/>
      </c>
    </row>
    <row r="846">
      <c r="A846" t="inlineStr">
        <is>
          <t>040084</t>
        </is>
      </c>
      <c r="B846" t="inlineStr">
        <is>
          <t>Saline Memorial Hospital</t>
        </is>
      </c>
      <c r="C846" t="inlineStr">
        <is>
          <t>AR</t>
        </is>
      </c>
      <c r="D846" t="inlineStr">
        <is>
          <t>Metropolitan</t>
        </is>
      </c>
      <c r="E846" s="5" t="n">
        <v>497</v>
      </c>
      <c r="F846" s="4" t="n">
        <v>0.6458752515090543</v>
      </c>
      <c r="G846" s="4" t="n">
        <v>0.6559859064617843</v>
      </c>
      <c r="H846" s="3" t="n">
        <v>6507909.070963274</v>
      </c>
      <c r="I846" s="3" t="n">
        <v>82558.40801902954</v>
      </c>
      <c r="J846" s="4" t="n">
        <v>0.0126858576416479</v>
      </c>
      <c r="K846">
        <f>IF(AND(I846&gt;0,J846&gt;=Assumptions!$B$4),1,0)</f>
        <v/>
      </c>
      <c r="L846" s="3">
        <f>I846*K846</f>
        <v/>
      </c>
      <c r="M846">
        <f>SUM($K$2:K846)</f>
        <v/>
      </c>
    </row>
    <row r="847">
      <c r="A847" t="inlineStr">
        <is>
          <t>490013</t>
        </is>
      </c>
      <c r="B847" t="inlineStr">
        <is>
          <t>Sentara Halifax Regional Hospital</t>
        </is>
      </c>
      <c r="C847" t="inlineStr">
        <is>
          <t>VA</t>
        </is>
      </c>
      <c r="D847" t="inlineStr">
        <is>
          <t>Small town</t>
        </is>
      </c>
      <c r="E847" s="5" t="n">
        <v>693</v>
      </c>
      <c r="F847" s="4" t="n">
        <v>0.6767676767676768</v>
      </c>
      <c r="G847" s="4" t="n">
        <v>0.715040256155952</v>
      </c>
      <c r="H847" s="3" t="n">
        <v>8552616.410705822</v>
      </c>
      <c r="I847" s="3" t="n">
        <v>82153.52693155967</v>
      </c>
      <c r="J847" s="4" t="n">
        <v>0.009605660184727</v>
      </c>
      <c r="K847">
        <f>IF(AND(I847&gt;0,J847&gt;=Assumptions!$B$4),1,0)</f>
        <v/>
      </c>
      <c r="L847" s="3">
        <f>I847*K847</f>
        <v/>
      </c>
      <c r="M847">
        <f>SUM($K$2:K847)</f>
        <v/>
      </c>
    </row>
    <row r="848">
      <c r="A848" t="inlineStr">
        <is>
          <t>190015</t>
        </is>
      </c>
      <c r="B848" t="inlineStr">
        <is>
          <t>North Oaks Medical Center, L L C</t>
        </is>
      </c>
      <c r="C848" t="inlineStr">
        <is>
          <t>LA</t>
        </is>
      </c>
      <c r="D848" t="inlineStr">
        <is>
          <t>Micropolitan</t>
        </is>
      </c>
      <c r="E848" s="5" t="n">
        <v>1525</v>
      </c>
      <c r="F848" s="4" t="n">
        <v>0.6760655737704918</v>
      </c>
      <c r="G848" s="4" t="n">
        <v>0.6680365605483597</v>
      </c>
      <c r="H848" s="3" t="n">
        <v>22324135.12317547</v>
      </c>
      <c r="I848" s="3" t="n">
        <v>82000.87952849269</v>
      </c>
      <c r="J848" s="4" t="n">
        <v>0.0036731940151788</v>
      </c>
      <c r="K848">
        <f>IF(AND(I848&gt;0,J848&gt;=Assumptions!$B$4),1,0)</f>
        <v/>
      </c>
      <c r="L848" s="3">
        <f>I848*K848</f>
        <v/>
      </c>
      <c r="M848">
        <f>SUM($K$2:K848)</f>
        <v/>
      </c>
    </row>
    <row r="849">
      <c r="A849" t="inlineStr">
        <is>
          <t>140011</t>
        </is>
      </c>
      <c r="B849" t="inlineStr">
        <is>
          <t>Herrin Hospital</t>
        </is>
      </c>
      <c r="C849" t="inlineStr">
        <is>
          <t>IL</t>
        </is>
      </c>
      <c r="D849" t="inlineStr">
        <is>
          <t>Metropolitan</t>
        </is>
      </c>
      <c r="E849" s="5" t="n">
        <v>1142</v>
      </c>
      <c r="F849" s="4" t="n">
        <v>0.5998248686514887</v>
      </c>
      <c r="G849" s="4" t="n">
        <v>0.6324278452881509</v>
      </c>
      <c r="H849" s="3" t="n">
        <v>14865896.09219006</v>
      </c>
      <c r="I849" s="3" t="n">
        <v>81296.46491161548</v>
      </c>
      <c r="J849" s="4" t="n">
        <v>0.0054686555326002</v>
      </c>
      <c r="K849">
        <f>IF(AND(I849&gt;0,J849&gt;=Assumptions!$B$4),1,0)</f>
        <v/>
      </c>
      <c r="L849" s="3">
        <f>I849*K849</f>
        <v/>
      </c>
      <c r="M849">
        <f>SUM($K$2:K849)</f>
        <v/>
      </c>
    </row>
    <row r="850">
      <c r="A850" t="inlineStr">
        <is>
          <t>210029</t>
        </is>
      </c>
      <c r="B850" t="inlineStr">
        <is>
          <t>Johns Hopkins Bayview Medical Center</t>
        </is>
      </c>
      <c r="C850" t="inlineStr">
        <is>
          <t>MD</t>
        </is>
      </c>
      <c r="D850" t="inlineStr">
        <is>
          <t>Metropolitan</t>
        </is>
      </c>
      <c r="E850" s="5" t="n">
        <v>3366</v>
      </c>
      <c r="F850" s="4" t="n">
        <v>0.5276292335115864</v>
      </c>
      <c r="G850" s="4" t="n">
        <v>0.5352154875986131</v>
      </c>
      <c r="H850" s="3" t="n">
        <v>53419335.41521298</v>
      </c>
      <c r="I850" s="3" t="n">
        <v>81002.66853708774</v>
      </c>
      <c r="J850" s="4" t="n">
        <v>0.0015163548536775</v>
      </c>
      <c r="K850">
        <f>IF(AND(I850&gt;0,J850&gt;=Assumptions!$B$4),1,0)</f>
        <v/>
      </c>
      <c r="L850" s="3">
        <f>I850*K850</f>
        <v/>
      </c>
      <c r="M850">
        <f>SUM($K$2:K850)</f>
        <v/>
      </c>
    </row>
    <row r="851">
      <c r="A851" t="inlineStr">
        <is>
          <t>370056</t>
        </is>
      </c>
      <c r="B851" t="inlineStr">
        <is>
          <t>Comanche County Memorial Hospital</t>
        </is>
      </c>
      <c r="C851" t="inlineStr">
        <is>
          <t>OK</t>
        </is>
      </c>
      <c r="D851" t="inlineStr">
        <is>
          <t>Metropolitan</t>
        </is>
      </c>
      <c r="E851" s="5" t="n">
        <v>2379</v>
      </c>
      <c r="F851" s="4" t="n">
        <v>0.6544766708701135</v>
      </c>
      <c r="G851" s="4" t="n">
        <v>0.6680041769449531</v>
      </c>
      <c r="H851" s="3" t="n">
        <v>35099886.93506422</v>
      </c>
      <c r="I851" s="3" t="n">
        <v>79920.83772160113</v>
      </c>
      <c r="J851" s="4" t="n">
        <v>0.0022769542782134</v>
      </c>
      <c r="K851">
        <f>IF(AND(I851&gt;0,J851&gt;=Assumptions!$B$4),1,0)</f>
        <v/>
      </c>
      <c r="L851" s="3">
        <f>I851*K851</f>
        <v/>
      </c>
      <c r="M851">
        <f>SUM($K$2:K851)</f>
        <v/>
      </c>
    </row>
    <row r="852">
      <c r="A852" t="inlineStr">
        <is>
          <t>490077</t>
        </is>
      </c>
      <c r="B852" t="inlineStr">
        <is>
          <t>Sentara Martha Jefferson Hospital</t>
        </is>
      </c>
      <c r="C852" t="inlineStr">
        <is>
          <t>VA</t>
        </is>
      </c>
      <c r="D852" t="inlineStr">
        <is>
          <t>Metropolitan</t>
        </is>
      </c>
      <c r="E852" s="5" t="n">
        <v>1857</v>
      </c>
      <c r="F852" s="4" t="n">
        <v>0.6397415185783522</v>
      </c>
      <c r="G852" s="4" t="n">
        <v>0.6291528858434383</v>
      </c>
      <c r="H852" s="3" t="n">
        <v>28806529.45133134</v>
      </c>
      <c r="I852" s="3" t="n">
        <v>79541.06108528376</v>
      </c>
      <c r="J852" s="4" t="n">
        <v>0.0027612163839336</v>
      </c>
      <c r="K852">
        <f>IF(AND(I852&gt;0,J852&gt;=Assumptions!$B$4),1,0)</f>
        <v/>
      </c>
      <c r="L852" s="3">
        <f>I852*K852</f>
        <v/>
      </c>
      <c r="M852">
        <f>SUM($K$2:K852)</f>
        <v/>
      </c>
    </row>
    <row r="853">
      <c r="A853" t="inlineStr">
        <is>
          <t>070021</t>
        </is>
      </c>
      <c r="B853" t="inlineStr">
        <is>
          <t>Windham Comm Mem Hosp &amp; Hatch Hosp</t>
        </is>
      </c>
      <c r="C853" t="inlineStr">
        <is>
          <t>CT</t>
        </is>
      </c>
      <c r="D853" t="inlineStr">
        <is>
          <t>Micropolitan</t>
        </is>
      </c>
      <c r="E853" s="5" t="n">
        <v>339</v>
      </c>
      <c r="F853" s="4" t="n">
        <v>0.6548672566371682</v>
      </c>
      <c r="G853" s="4" t="n">
        <v>0.6915802855699483</v>
      </c>
      <c r="H853" s="3" t="n">
        <v>4192992.441625893</v>
      </c>
      <c r="I853" s="3" t="n">
        <v>79540.00789604941</v>
      </c>
      <c r="J853" s="4" t="n">
        <v>0.0189697475021459</v>
      </c>
      <c r="K853">
        <f>IF(AND(I853&gt;0,J853&gt;=Assumptions!$B$4),1,0)</f>
        <v/>
      </c>
      <c r="L853" s="3">
        <f>I853*K853</f>
        <v/>
      </c>
      <c r="M853">
        <f>SUM($K$2:K853)</f>
        <v/>
      </c>
    </row>
    <row r="854">
      <c r="A854" t="inlineStr">
        <is>
          <t>100213</t>
        </is>
      </c>
      <c r="B854" t="inlineStr">
        <is>
          <t>Hca Florida Blake Hospital</t>
        </is>
      </c>
      <c r="C854" t="inlineStr">
        <is>
          <t>FL</t>
        </is>
      </c>
      <c r="D854" t="inlineStr">
        <is>
          <t>Metropolitan</t>
        </is>
      </c>
      <c r="E854" s="5" t="n">
        <v>2031</v>
      </c>
      <c r="F854" s="4" t="n">
        <v>0.5366814377154111</v>
      </c>
      <c r="G854" s="4" t="n">
        <v>0.5405976444851581</v>
      </c>
      <c r="H854" s="3" t="n">
        <v>32541614.52815342</v>
      </c>
      <c r="I854" s="3" t="n">
        <v>79004.52942578495</v>
      </c>
      <c r="J854" s="4" t="n">
        <v>0.0024277999285325</v>
      </c>
      <c r="K854">
        <f>IF(AND(I854&gt;0,J854&gt;=Assumptions!$B$4),1,0)</f>
        <v/>
      </c>
      <c r="L854" s="3">
        <f>I854*K854</f>
        <v/>
      </c>
      <c r="M854">
        <f>SUM($K$2:K854)</f>
        <v/>
      </c>
    </row>
    <row r="855">
      <c r="A855" t="inlineStr">
        <is>
          <t>150113</t>
        </is>
      </c>
      <c r="B855" t="inlineStr">
        <is>
          <t>Community Hospital Of Anderson And Madison County</t>
        </is>
      </c>
      <c r="C855" t="inlineStr">
        <is>
          <t>IN</t>
        </is>
      </c>
      <c r="D855" t="inlineStr">
        <is>
          <t>Metropolitan</t>
        </is>
      </c>
      <c r="E855" s="5" t="n">
        <v>652</v>
      </c>
      <c r="F855" s="4" t="n">
        <v>0.6211656441717791</v>
      </c>
      <c r="G855" s="4" t="n">
        <v>0.6468703078992857</v>
      </c>
      <c r="H855" s="3" t="n">
        <v>8384903.292109447</v>
      </c>
      <c r="I855" s="3" t="n">
        <v>78884.17600520328</v>
      </c>
      <c r="J855" s="4" t="n">
        <v>0.0094078814336996</v>
      </c>
      <c r="K855">
        <f>IF(AND(I855&gt;0,J855&gt;=Assumptions!$B$4),1,0)</f>
        <v/>
      </c>
      <c r="L855" s="3">
        <f>I855*K855</f>
        <v/>
      </c>
      <c r="M855">
        <f>SUM($K$2:K855)</f>
        <v/>
      </c>
    </row>
    <row r="856">
      <c r="A856" t="inlineStr">
        <is>
          <t>050101</t>
        </is>
      </c>
      <c r="B856" t="inlineStr">
        <is>
          <t>Sutter Solano Medical Center</t>
        </is>
      </c>
      <c r="C856" t="inlineStr">
        <is>
          <t>CA</t>
        </is>
      </c>
      <c r="D856" t="inlineStr">
        <is>
          <t>Metropolitan</t>
        </is>
      </c>
      <c r="E856" s="5" t="n">
        <v>529</v>
      </c>
      <c r="F856" s="4" t="n">
        <v>0.7580340264650284</v>
      </c>
      <c r="G856" s="4" t="n">
        <v>0.7431705191634171</v>
      </c>
      <c r="H856" s="3" t="n">
        <v>8503908.597622894</v>
      </c>
      <c r="I856" s="3" t="n">
        <v>78604.20984998345</v>
      </c>
      <c r="J856" s="4" t="n">
        <v>0.009243303705305</v>
      </c>
      <c r="K856">
        <f>IF(AND(I856&gt;0,J856&gt;=Assumptions!$B$4),1,0)</f>
        <v/>
      </c>
      <c r="L856" s="3">
        <f>I856*K856</f>
        <v/>
      </c>
      <c r="M856">
        <f>SUM($K$2:K856)</f>
        <v/>
      </c>
    </row>
    <row r="857">
      <c r="A857" t="inlineStr">
        <is>
          <t>050414</t>
        </is>
      </c>
      <c r="B857" t="inlineStr">
        <is>
          <t>Mercy Hospital Of Folsom</t>
        </is>
      </c>
      <c r="C857" t="inlineStr">
        <is>
          <t>CA</t>
        </is>
      </c>
      <c r="D857" t="inlineStr">
        <is>
          <t>Metropolitan</t>
        </is>
      </c>
      <c r="E857" s="5" t="n">
        <v>1336</v>
      </c>
      <c r="F857" s="4" t="n">
        <v>0.6167664670658682</v>
      </c>
      <c r="G857" s="4" t="n">
        <v>0.6287516703387217</v>
      </c>
      <c r="H857" s="3" t="n">
        <v>17694645.14098613</v>
      </c>
      <c r="I857" s="3" t="n">
        <v>77453.77177094668</v>
      </c>
      <c r="J857" s="4" t="n">
        <v>0.004377243575885</v>
      </c>
      <c r="K857">
        <f>IF(AND(I857&gt;0,J857&gt;=Assumptions!$B$4),1,0)</f>
        <v/>
      </c>
      <c r="L857" s="3">
        <f>I857*K857</f>
        <v/>
      </c>
      <c r="M857">
        <f>SUM($K$2:K857)</f>
        <v/>
      </c>
    </row>
    <row r="858">
      <c r="A858" t="inlineStr">
        <is>
          <t>330331</t>
        </is>
      </c>
      <c r="B858" t="inlineStr">
        <is>
          <t>Plainview Hospital</t>
        </is>
      </c>
      <c r="C858" t="inlineStr">
        <is>
          <t>NY</t>
        </is>
      </c>
      <c r="D858" t="inlineStr">
        <is>
          <t>Metropolitan</t>
        </is>
      </c>
      <c r="E858" s="5" t="n">
        <v>2515</v>
      </c>
      <c r="F858" s="4" t="n">
        <v>0.6083499005964215</v>
      </c>
      <c r="G858" s="4" t="n">
        <v>0.6012552943664469</v>
      </c>
      <c r="H858" s="3" t="n">
        <v>34109637.33299138</v>
      </c>
      <c r="I858" s="3" t="n">
        <v>76171.83081238717</v>
      </c>
      <c r="J858" s="4" t="n">
        <v>0.0022331468983023</v>
      </c>
      <c r="K858">
        <f>IF(AND(I858&gt;0,J858&gt;=Assumptions!$B$4),1,0)</f>
        <v/>
      </c>
      <c r="L858" s="3">
        <f>I858*K858</f>
        <v/>
      </c>
      <c r="M858">
        <f>SUM($K$2:K858)</f>
        <v/>
      </c>
    </row>
    <row r="859">
      <c r="A859" t="inlineStr">
        <is>
          <t>490023</t>
        </is>
      </c>
      <c r="B859" t="inlineStr">
        <is>
          <t>Fauquier Hospital</t>
        </is>
      </c>
      <c r="C859" t="inlineStr">
        <is>
          <t>VA</t>
        </is>
      </c>
      <c r="D859" t="inlineStr">
        <is>
          <t>Metropolitan</t>
        </is>
      </c>
      <c r="E859" s="5" t="n">
        <v>393</v>
      </c>
      <c r="F859" s="4" t="n">
        <v>0.648854961832061</v>
      </c>
      <c r="G859" s="4" t="n">
        <v>0.677835089185635</v>
      </c>
      <c r="H859" s="3" t="n">
        <v>4953487.767132993</v>
      </c>
      <c r="I859" s="3" t="n">
        <v>74541.21912305802</v>
      </c>
      <c r="J859" s="4" t="n">
        <v>0.0150482291725132</v>
      </c>
      <c r="K859">
        <f>IF(AND(I859&gt;0,J859&gt;=Assumptions!$B$4),1,0)</f>
        <v/>
      </c>
      <c r="L859" s="3">
        <f>I859*K859</f>
        <v/>
      </c>
      <c r="M859">
        <f>SUM($K$2:K859)</f>
        <v/>
      </c>
    </row>
    <row r="860">
      <c r="A860" t="inlineStr">
        <is>
          <t>450709</t>
        </is>
      </c>
      <c r="B860" t="inlineStr">
        <is>
          <t>Houston Methodist Clear Lake Hospital</t>
        </is>
      </c>
      <c r="C860" t="inlineStr">
        <is>
          <t>TX</t>
        </is>
      </c>
      <c r="D860" t="inlineStr">
        <is>
          <t>Metropolitan</t>
        </is>
      </c>
      <c r="E860" s="5" t="n">
        <v>1144</v>
      </c>
      <c r="F860" s="4" t="n">
        <v>0.666083916083916</v>
      </c>
      <c r="G860" s="4" t="n">
        <v>0.6605437183127609</v>
      </c>
      <c r="H860" s="3" t="n">
        <v>16702810.60673507</v>
      </c>
      <c r="I860" s="3" t="n">
        <v>74067.64654098265</v>
      </c>
      <c r="J860" s="4" t="n">
        <v>0.0044344420998892</v>
      </c>
      <c r="K860">
        <f>IF(AND(I860&gt;0,J860&gt;=Assumptions!$B$4),1,0)</f>
        <v/>
      </c>
      <c r="L860" s="3">
        <f>I860*K860</f>
        <v/>
      </c>
      <c r="M860">
        <f>SUM($K$2:K860)</f>
        <v/>
      </c>
    </row>
    <row r="861">
      <c r="A861" t="inlineStr">
        <is>
          <t>010085</t>
        </is>
      </c>
      <c r="B861" t="inlineStr">
        <is>
          <t>Decatur Morgan Hospital-Decatur Campus</t>
        </is>
      </c>
      <c r="C861" t="inlineStr">
        <is>
          <t>AL</t>
        </is>
      </c>
      <c r="D861" t="inlineStr">
        <is>
          <t>Metropolitan</t>
        </is>
      </c>
      <c r="E861" s="5" t="n">
        <v>1214</v>
      </c>
      <c r="F861" s="4" t="n">
        <v>0.6326194398682042</v>
      </c>
      <c r="G861" s="4" t="n">
        <v>0.6229127042449419</v>
      </c>
      <c r="H861" s="3" t="n">
        <v>16548517.88909746</v>
      </c>
      <c r="I861" s="3" t="n">
        <v>73827.95000688173</v>
      </c>
      <c r="J861" s="4" t="n">
        <v>0.004461302849092</v>
      </c>
      <c r="K861">
        <f>IF(AND(I861&gt;0,J861&gt;=Assumptions!$B$4),1,0)</f>
        <v/>
      </c>
      <c r="L861" s="3">
        <f>I861*K861</f>
        <v/>
      </c>
      <c r="M861">
        <f>SUM($K$2:K861)</f>
        <v/>
      </c>
    </row>
    <row r="862">
      <c r="A862" t="inlineStr">
        <is>
          <t>500053</t>
        </is>
      </c>
      <c r="B862" t="inlineStr">
        <is>
          <t>Trios</t>
        </is>
      </c>
      <c r="C862" t="inlineStr">
        <is>
          <t>WA</t>
        </is>
      </c>
      <c r="D862" t="inlineStr">
        <is>
          <t>Metropolitan</t>
        </is>
      </c>
      <c r="E862" s="5" t="n">
        <v>838</v>
      </c>
      <c r="F862" s="4" t="n">
        <v>0.7016706443914081</v>
      </c>
      <c r="G862" s="4" t="n">
        <v>0.6619194028056783</v>
      </c>
      <c r="H862" s="3" t="n">
        <v>12409696.65934236</v>
      </c>
      <c r="I862" s="3" t="n">
        <v>71583.5410740152</v>
      </c>
      <c r="J862" s="4" t="n">
        <v>0.0057683554271348</v>
      </c>
      <c r="K862">
        <f>IF(AND(I862&gt;0,J862&gt;=Assumptions!$B$4),1,0)</f>
        <v/>
      </c>
      <c r="L862" s="3">
        <f>I862*K862</f>
        <v/>
      </c>
      <c r="M862">
        <f>SUM($K$2:K862)</f>
        <v/>
      </c>
    </row>
    <row r="863">
      <c r="A863" t="inlineStr">
        <is>
          <t>330157</t>
        </is>
      </c>
      <c r="B863" t="inlineStr">
        <is>
          <t>Samaritan Medical Center</t>
        </is>
      </c>
      <c r="C863" t="inlineStr">
        <is>
          <t>NY</t>
        </is>
      </c>
      <c r="D863" t="inlineStr">
        <is>
          <t>Metropolitan</t>
        </is>
      </c>
      <c r="E863" s="5" t="n">
        <v>638</v>
      </c>
      <c r="F863" s="4" t="n">
        <v>0.609717868338558</v>
      </c>
      <c r="G863" s="4" t="n">
        <v>0.6604218656125344</v>
      </c>
      <c r="H863" s="3" t="n">
        <v>9102824.773149269</v>
      </c>
      <c r="I863" s="3" t="n">
        <v>71186.43324808776</v>
      </c>
      <c r="J863" s="4" t="n">
        <v>0.0078202574499805</v>
      </c>
      <c r="K863">
        <f>IF(AND(I863&gt;0,J863&gt;=Assumptions!$B$4),1,0)</f>
        <v/>
      </c>
      <c r="L863" s="3">
        <f>I863*K863</f>
        <v/>
      </c>
      <c r="M863">
        <f>SUM($K$2:K863)</f>
        <v/>
      </c>
    </row>
    <row r="864">
      <c r="A864" t="inlineStr">
        <is>
          <t>110128</t>
        </is>
      </c>
      <c r="B864" t="inlineStr">
        <is>
          <t>Memorial Health Meadows Hospital</t>
        </is>
      </c>
      <c r="C864" t="inlineStr">
        <is>
          <t>GA</t>
        </is>
      </c>
      <c r="D864" t="inlineStr">
        <is>
          <t>Micropolitan</t>
        </is>
      </c>
      <c r="E864" s="5" t="n">
        <v>374</v>
      </c>
      <c r="F864" s="4" t="n">
        <v>0.6737967914438503</v>
      </c>
      <c r="G864" s="4" t="n">
        <v>0.6900981451240252</v>
      </c>
      <c r="H864" s="3" t="n">
        <v>4648084.147418135</v>
      </c>
      <c r="I864" s="3" t="n">
        <v>70361.3330460703</v>
      </c>
      <c r="J864" s="4" t="n">
        <v>0.0151377063784772</v>
      </c>
      <c r="K864">
        <f>IF(AND(I864&gt;0,J864&gt;=Assumptions!$B$4),1,0)</f>
        <v/>
      </c>
      <c r="L864" s="3">
        <f>I864*K864</f>
        <v/>
      </c>
      <c r="M864">
        <f>SUM($K$2:K864)</f>
        <v/>
      </c>
    </row>
    <row r="865">
      <c r="A865" t="inlineStr">
        <is>
          <t>490089</t>
        </is>
      </c>
      <c r="B865" t="inlineStr">
        <is>
          <t>Carilion Franklin Memorial Hospital</t>
        </is>
      </c>
      <c r="C865" t="inlineStr">
        <is>
          <t>VA</t>
        </is>
      </c>
      <c r="D865" t="inlineStr">
        <is>
          <t>Metropolitan</t>
        </is>
      </c>
      <c r="E865" s="5" t="n">
        <v>383</v>
      </c>
      <c r="F865" s="4" t="n">
        <v>0.6892950391644909</v>
      </c>
      <c r="G865" s="4" t="n">
        <v>0.7145105241616945</v>
      </c>
      <c r="H865" s="3" t="n">
        <v>4629561.679991643</v>
      </c>
      <c r="I865" s="3" t="n">
        <v>70321.66906059999</v>
      </c>
      <c r="J865" s="4" t="n">
        <v>0.0151897034582174</v>
      </c>
      <c r="K865">
        <f>IF(AND(I865&gt;0,J865&gt;=Assumptions!$B$4),1,0)</f>
        <v/>
      </c>
      <c r="L865" s="3">
        <f>I865*K865</f>
        <v/>
      </c>
      <c r="M865">
        <f>SUM($K$2:K865)</f>
        <v/>
      </c>
    </row>
    <row r="866">
      <c r="A866" t="inlineStr">
        <is>
          <t>100276</t>
        </is>
      </c>
      <c r="B866" t="inlineStr">
        <is>
          <t>Broward Health Coral Springs</t>
        </is>
      </c>
      <c r="C866" t="inlineStr">
        <is>
          <t>FL</t>
        </is>
      </c>
      <c r="D866" t="inlineStr">
        <is>
          <t>Metropolitan</t>
        </is>
      </c>
      <c r="E866" s="5" t="n">
        <v>953</v>
      </c>
      <c r="F866" s="4" t="n">
        <v>0.5687303252885625</v>
      </c>
      <c r="G866" s="4" t="n">
        <v>0.5913596673428758</v>
      </c>
      <c r="H866" s="3" t="n">
        <v>12203147.66041598</v>
      </c>
      <c r="I866" s="3" t="n">
        <v>70193.75144478679</v>
      </c>
      <c r="J866" s="4" t="n">
        <v>0.0057521021131685</v>
      </c>
      <c r="K866">
        <f>IF(AND(I866&gt;0,J866&gt;=Assumptions!$B$4),1,0)</f>
        <v/>
      </c>
      <c r="L866" s="3">
        <f>I866*K866</f>
        <v/>
      </c>
      <c r="M866">
        <f>SUM($K$2:K866)</f>
        <v/>
      </c>
    </row>
    <row r="867">
      <c r="A867" t="inlineStr">
        <is>
          <t>100292</t>
        </is>
      </c>
      <c r="B867" t="inlineStr">
        <is>
          <t>Sacred Heart Hospital On The Emerald Coast</t>
        </is>
      </c>
      <c r="C867" t="inlineStr">
        <is>
          <t>FL</t>
        </is>
      </c>
      <c r="D867" t="inlineStr">
        <is>
          <t>Rural</t>
        </is>
      </c>
      <c r="E867" s="5" t="n">
        <v>856</v>
      </c>
      <c r="F867" s="4" t="n">
        <v>0.5175233644859814</v>
      </c>
      <c r="G867" s="4" t="n">
        <v>0.5465530688869102</v>
      </c>
      <c r="H867" s="3" t="n">
        <v>14638426.98825379</v>
      </c>
      <c r="I867" s="3" t="n">
        <v>69203.927827904</v>
      </c>
      <c r="J867" s="4" t="n">
        <v>0.0047275522078591</v>
      </c>
      <c r="K867">
        <f>IF(AND(I867&gt;0,J867&gt;=Assumptions!$B$4),1,0)</f>
        <v/>
      </c>
      <c r="L867" s="3">
        <f>I867*K867</f>
        <v/>
      </c>
      <c r="M867">
        <f>SUM($K$2:K867)</f>
        <v/>
      </c>
    </row>
    <row r="868">
      <c r="A868" t="inlineStr">
        <is>
          <t>390113</t>
        </is>
      </c>
      <c r="B868" t="inlineStr">
        <is>
          <t>Meadville Medical Center</t>
        </is>
      </c>
      <c r="C868" t="inlineStr">
        <is>
          <t>PA</t>
        </is>
      </c>
      <c r="D868" t="inlineStr">
        <is>
          <t>Micropolitan</t>
        </is>
      </c>
      <c r="E868" s="5" t="n">
        <v>604</v>
      </c>
      <c r="F868" s="4" t="n">
        <v>0.5198675496688742</v>
      </c>
      <c r="G868" s="4" t="n">
        <v>0.5737043342254825</v>
      </c>
      <c r="H868" s="3" t="n">
        <v>8081084.09019589</v>
      </c>
      <c r="I868" s="3" t="n">
        <v>69123.57635965012</v>
      </c>
      <c r="J868" s="4" t="n">
        <v>0.0085537504112241</v>
      </c>
      <c r="K868">
        <f>IF(AND(I868&gt;0,J868&gt;=Assumptions!$B$4),1,0)</f>
        <v/>
      </c>
      <c r="L868" s="3">
        <f>I868*K868</f>
        <v/>
      </c>
      <c r="M868">
        <f>SUM($K$2:K868)</f>
        <v/>
      </c>
    </row>
    <row r="869">
      <c r="A869" t="inlineStr">
        <is>
          <t>260005</t>
        </is>
      </c>
      <c r="B869" t="inlineStr">
        <is>
          <t>Ssm Health St Joseph Hospital-St Charles</t>
        </is>
      </c>
      <c r="C869" t="inlineStr">
        <is>
          <t>MO</t>
        </is>
      </c>
      <c r="D869" t="inlineStr">
        <is>
          <t>Metropolitan</t>
        </is>
      </c>
      <c r="E869" s="5" t="n">
        <v>750</v>
      </c>
      <c r="F869" s="4" t="n">
        <v>0.6306666666666667</v>
      </c>
      <c r="G869" s="4" t="n">
        <v>0.6587755824611194</v>
      </c>
      <c r="H869" s="3" t="n">
        <v>9767670.803765472</v>
      </c>
      <c r="I869" s="3" t="n">
        <v>68541.24553452432</v>
      </c>
      <c r="J869" s="4" t="n">
        <v>0.0070171535171006</v>
      </c>
      <c r="K869">
        <f>IF(AND(I869&gt;0,J869&gt;=Assumptions!$B$4),1,0)</f>
        <v/>
      </c>
      <c r="L869" s="3">
        <f>I869*K869</f>
        <v/>
      </c>
      <c r="M869">
        <f>SUM($K$2:K869)</f>
        <v/>
      </c>
    </row>
    <row r="870">
      <c r="A870" t="inlineStr">
        <is>
          <t>330058</t>
        </is>
      </c>
      <c r="B870" t="inlineStr">
        <is>
          <t>Geneva General Hospital</t>
        </is>
      </c>
      <c r="C870" t="inlineStr">
        <is>
          <t>NY</t>
        </is>
      </c>
      <c r="D870" t="inlineStr">
        <is>
          <t>Micropolitan</t>
        </is>
      </c>
      <c r="E870" s="5" t="n">
        <v>335</v>
      </c>
      <c r="F870" s="4" t="n">
        <v>0.6985074626865672</v>
      </c>
      <c r="G870" s="4" t="n">
        <v>0.7393423244720855</v>
      </c>
      <c r="H870" s="3" t="n">
        <v>4797904.599853994</v>
      </c>
      <c r="I870" s="3" t="n">
        <v>68018.23508787062</v>
      </c>
      <c r="J870" s="4" t="n">
        <v>0.0141766543440527</v>
      </c>
      <c r="K870">
        <f>IF(AND(I870&gt;0,J870&gt;=Assumptions!$B$4),1,0)</f>
        <v/>
      </c>
      <c r="L870" s="3">
        <f>I870*K870</f>
        <v/>
      </c>
      <c r="M870">
        <f>SUM($K$2:K870)</f>
        <v/>
      </c>
    </row>
    <row r="871">
      <c r="A871" t="inlineStr">
        <is>
          <t>040051</t>
        </is>
      </c>
      <c r="B871" t="inlineStr">
        <is>
          <t>Baptist Health Medical Center-Drew County</t>
        </is>
      </c>
      <c r="C871" t="inlineStr">
        <is>
          <t>AR</t>
        </is>
      </c>
      <c r="D871" t="inlineStr">
        <is>
          <t>Small town</t>
        </is>
      </c>
      <c r="E871" s="5" t="n">
        <v>358</v>
      </c>
      <c r="F871" s="4" t="n">
        <v>0.6424581005586593</v>
      </c>
      <c r="G871" s="4" t="n">
        <v>0.684959434763188</v>
      </c>
      <c r="H871" s="3" t="n">
        <v>4037475.62173234</v>
      </c>
      <c r="I871" s="3" t="n">
        <v>67757.36710733222</v>
      </c>
      <c r="J871" s="4" t="n">
        <v>0.0167821117587974</v>
      </c>
      <c r="K871">
        <f>IF(AND(I871&gt;0,J871&gt;=Assumptions!$B$4),1,0)</f>
        <v/>
      </c>
      <c r="L871" s="3">
        <f>I871*K871</f>
        <v/>
      </c>
      <c r="M871">
        <f>SUM($K$2:K871)</f>
        <v/>
      </c>
    </row>
    <row r="872">
      <c r="A872" t="inlineStr">
        <is>
          <t>140147</t>
        </is>
      </c>
      <c r="B872" t="inlineStr">
        <is>
          <t>Carle Richland Memorial Hospital</t>
        </is>
      </c>
      <c r="C872" t="inlineStr">
        <is>
          <t>IL</t>
        </is>
      </c>
      <c r="D872" t="inlineStr">
        <is>
          <t>Small town</t>
        </is>
      </c>
      <c r="E872" s="5" t="n">
        <v>319</v>
      </c>
      <c r="F872" s="4" t="n">
        <v>0.658307210031348</v>
      </c>
      <c r="G872" s="4" t="n">
        <v>0.7217531667793459</v>
      </c>
      <c r="H872" s="3" t="n">
        <v>3853200.569592707</v>
      </c>
      <c r="I872" s="3" t="n">
        <v>66727.70285370992</v>
      </c>
      <c r="J872" s="4" t="n">
        <v>0.0173174745639475</v>
      </c>
      <c r="K872">
        <f>IF(AND(I872&gt;0,J872&gt;=Assumptions!$B$4),1,0)</f>
        <v/>
      </c>
      <c r="L872" s="3">
        <f>I872*K872</f>
        <v/>
      </c>
      <c r="M872">
        <f>SUM($K$2:K872)</f>
        <v/>
      </c>
    </row>
    <row r="873">
      <c r="A873" t="inlineStr">
        <is>
          <t>370236</t>
        </is>
      </c>
      <c r="B873" t="inlineStr">
        <is>
          <t>Integris Health Edmond Hospital</t>
        </is>
      </c>
      <c r="C873" t="inlineStr">
        <is>
          <t>OK</t>
        </is>
      </c>
      <c r="D873" t="inlineStr">
        <is>
          <t>Metropolitan</t>
        </is>
      </c>
      <c r="E873" s="5" t="n">
        <v>518</v>
      </c>
      <c r="F873" s="4" t="n">
        <v>0.5521235521235521</v>
      </c>
      <c r="G873" s="4" t="n">
        <v>0.6482385649156112</v>
      </c>
      <c r="H873" s="3" t="n">
        <v>6650072.537246071</v>
      </c>
      <c r="I873" s="3" t="n">
        <v>66603.75187005755</v>
      </c>
      <c r="J873" s="4" t="n">
        <v>0.0100154925374151</v>
      </c>
      <c r="K873">
        <f>IF(AND(I873&gt;0,J873&gt;=Assumptions!$B$4),1,0)</f>
        <v/>
      </c>
      <c r="L873" s="3">
        <f>I873*K873</f>
        <v/>
      </c>
      <c r="M873">
        <f>SUM($K$2:K873)</f>
        <v/>
      </c>
    </row>
    <row r="874">
      <c r="A874" t="inlineStr">
        <is>
          <t>360144</t>
        </is>
      </c>
      <c r="B874" t="inlineStr">
        <is>
          <t>South Pointe Hospital</t>
        </is>
      </c>
      <c r="C874" t="inlineStr">
        <is>
          <t>OH</t>
        </is>
      </c>
      <c r="D874" t="inlineStr">
        <is>
          <t>Metropolitan</t>
        </is>
      </c>
      <c r="E874" s="5" t="n">
        <v>977</v>
      </c>
      <c r="F874" s="4" t="n">
        <v>0.6110542476970318</v>
      </c>
      <c r="G874" s="4" t="n">
        <v>0.6631270974879966</v>
      </c>
      <c r="H874" s="3" t="n">
        <v>12745389.687968</v>
      </c>
      <c r="I874" s="3" t="n">
        <v>66439.12226262316</v>
      </c>
      <c r="J874" s="4" t="n">
        <v>0.0052127964612446</v>
      </c>
      <c r="K874">
        <f>IF(AND(I874&gt;0,J874&gt;=Assumptions!$B$4),1,0)</f>
        <v/>
      </c>
      <c r="L874" s="3">
        <f>I874*K874</f>
        <v/>
      </c>
      <c r="M874">
        <f>SUM($K$2:K874)</f>
        <v/>
      </c>
    </row>
    <row r="875">
      <c r="A875" t="inlineStr">
        <is>
          <t>180001</t>
        </is>
      </c>
      <c r="B875" t="inlineStr">
        <is>
          <t>St Elizabeth Ft Thomas</t>
        </is>
      </c>
      <c r="C875" t="inlineStr">
        <is>
          <t>KY</t>
        </is>
      </c>
      <c r="D875" t="inlineStr">
        <is>
          <t>Metropolitan</t>
        </is>
      </c>
      <c r="E875" s="5" t="n">
        <v>907</v>
      </c>
      <c r="F875" s="4" t="n">
        <v>0.6361631753031973</v>
      </c>
      <c r="G875" s="4" t="n">
        <v>0.6685640148375261</v>
      </c>
      <c r="H875" s="3" t="n">
        <v>11813166.16021746</v>
      </c>
      <c r="I875" s="3" t="n">
        <v>65649.93997739069</v>
      </c>
      <c r="J875" s="4" t="n">
        <v>0.0055573534721348</v>
      </c>
      <c r="K875">
        <f>IF(AND(I875&gt;0,J875&gt;=Assumptions!$B$4),1,0)</f>
        <v/>
      </c>
      <c r="L875" s="3">
        <f>I875*K875</f>
        <v/>
      </c>
      <c r="M875">
        <f>SUM($K$2:K875)</f>
        <v/>
      </c>
    </row>
    <row r="876">
      <c r="A876" t="inlineStr">
        <is>
          <t>340051</t>
        </is>
      </c>
      <c r="B876" t="inlineStr">
        <is>
          <t>Watauga Medical Center</t>
        </is>
      </c>
      <c r="C876" t="inlineStr">
        <is>
          <t>NC</t>
        </is>
      </c>
      <c r="D876" t="inlineStr">
        <is>
          <t>Micropolitan</t>
        </is>
      </c>
      <c r="E876" s="5" t="n">
        <v>550</v>
      </c>
      <c r="F876" s="4" t="n">
        <v>0.5709090909090909</v>
      </c>
      <c r="G876" s="4" t="n">
        <v>0.5839299493025614</v>
      </c>
      <c r="H876" s="3" t="n">
        <v>7347814.155061821</v>
      </c>
      <c r="I876" s="3" t="n">
        <v>65198.27145687025</v>
      </c>
      <c r="J876" s="4" t="n">
        <v>0.008873151944371899</v>
      </c>
      <c r="K876">
        <f>IF(AND(I876&gt;0,J876&gt;=Assumptions!$B$4),1,0)</f>
        <v/>
      </c>
      <c r="L876" s="3">
        <f>I876*K876</f>
        <v/>
      </c>
      <c r="M876">
        <f>SUM($K$2:K876)</f>
        <v/>
      </c>
    </row>
    <row r="877">
      <c r="A877" t="inlineStr">
        <is>
          <t>490046</t>
        </is>
      </c>
      <c r="B877" t="inlineStr">
        <is>
          <t>Sentara Leigh Hospital</t>
        </is>
      </c>
      <c r="C877" t="inlineStr">
        <is>
          <t>VA</t>
        </is>
      </c>
      <c r="D877" t="inlineStr">
        <is>
          <t>Metropolitan</t>
        </is>
      </c>
      <c r="E877" s="5" t="n">
        <v>3620</v>
      </c>
      <c r="F877" s="4" t="n">
        <v>0.6701657458563536</v>
      </c>
      <c r="G877" s="4" t="n">
        <v>0.6326180019557388</v>
      </c>
      <c r="H877" s="3" t="n">
        <v>55822571.26287829</v>
      </c>
      <c r="I877" s="3" t="n">
        <v>64958.35782342404</v>
      </c>
      <c r="J877" s="4" t="n">
        <v>0.0011636575735202</v>
      </c>
      <c r="K877">
        <f>IF(AND(I877&gt;0,J877&gt;=Assumptions!$B$4),1,0)</f>
        <v/>
      </c>
      <c r="L877" s="3">
        <f>I877*K877</f>
        <v/>
      </c>
      <c r="M877">
        <f>SUM($K$2:K877)</f>
        <v/>
      </c>
    </row>
    <row r="878">
      <c r="A878" t="inlineStr">
        <is>
          <t>310031</t>
        </is>
      </c>
      <c r="B878" t="inlineStr">
        <is>
          <t>Deborah Heart And Lung Center</t>
        </is>
      </c>
      <c r="C878" t="inlineStr">
        <is>
          <t>NJ</t>
        </is>
      </c>
      <c r="D878" t="inlineStr">
        <is>
          <t>Micropolitan</t>
        </is>
      </c>
      <c r="E878" s="5" t="n">
        <v>800</v>
      </c>
      <c r="F878" s="4" t="n">
        <v>0.5024999999999999</v>
      </c>
      <c r="G878" s="4" t="n">
        <v>0.5533620537010937</v>
      </c>
      <c r="H878" s="3" t="n">
        <v>16698793.68693289</v>
      </c>
      <c r="I878" s="3" t="n">
        <v>64482.80323605053</v>
      </c>
      <c r="J878" s="4" t="n">
        <v>0.003861524637346</v>
      </c>
      <c r="K878">
        <f>IF(AND(I878&gt;0,J878&gt;=Assumptions!$B$4),1,0)</f>
        <v/>
      </c>
      <c r="L878" s="3">
        <f>I878*K878</f>
        <v/>
      </c>
      <c r="M878">
        <f>SUM($K$2:K878)</f>
        <v/>
      </c>
    </row>
    <row r="879">
      <c r="A879" t="inlineStr">
        <is>
          <t>010087</t>
        </is>
      </c>
      <c r="B879" t="inlineStr">
        <is>
          <t>Usa Health University Hospital</t>
        </is>
      </c>
      <c r="C879" t="inlineStr">
        <is>
          <t>AL</t>
        </is>
      </c>
      <c r="D879" t="inlineStr">
        <is>
          <t>Metropolitan</t>
        </is>
      </c>
      <c r="E879" s="5" t="n">
        <v>564</v>
      </c>
      <c r="F879" s="4" t="n">
        <v>0.5549645390070922</v>
      </c>
      <c r="G879" s="4" t="n">
        <v>0.5590522148633397</v>
      </c>
      <c r="H879" s="3" t="n">
        <v>10903907.28854468</v>
      </c>
      <c r="I879" s="3" t="n">
        <v>63988.8681163881</v>
      </c>
      <c r="J879" s="4" t="n">
        <v>0.0058684347200579</v>
      </c>
      <c r="K879">
        <f>IF(AND(I879&gt;0,J879&gt;=Assumptions!$B$4),1,0)</f>
        <v/>
      </c>
      <c r="L879" s="3">
        <f>I879*K879</f>
        <v/>
      </c>
      <c r="M879">
        <f>SUM($K$2:K879)</f>
        <v/>
      </c>
    </row>
    <row r="880">
      <c r="A880" t="inlineStr">
        <is>
          <t>100200</t>
        </is>
      </c>
      <c r="B880" t="inlineStr">
        <is>
          <t>Broward Health Imperial Point</t>
        </is>
      </c>
      <c r="C880" t="inlineStr">
        <is>
          <t>FL</t>
        </is>
      </c>
      <c r="D880" t="inlineStr">
        <is>
          <t>Metropolitan</t>
        </is>
      </c>
      <c r="E880" s="5" t="n">
        <v>447</v>
      </c>
      <c r="F880" s="4" t="n">
        <v>0.6152125279642058</v>
      </c>
      <c r="G880" s="4" t="n">
        <v>0.6265342435310222</v>
      </c>
      <c r="H880" s="3" t="n">
        <v>5465616.613156121</v>
      </c>
      <c r="I880" s="3" t="n">
        <v>63855.07192591112</v>
      </c>
      <c r="J880" s="4" t="n">
        <v>0.011683049954914</v>
      </c>
      <c r="K880">
        <f>IF(AND(I880&gt;0,J880&gt;=Assumptions!$B$4),1,0)</f>
        <v/>
      </c>
      <c r="L880" s="3">
        <f>I880*K880</f>
        <v/>
      </c>
      <c r="M880">
        <f>SUM($K$2:K880)</f>
        <v/>
      </c>
    </row>
    <row r="881">
      <c r="A881" t="inlineStr">
        <is>
          <t>010090</t>
        </is>
      </c>
      <c r="B881" t="inlineStr">
        <is>
          <t>Providence Hospital</t>
        </is>
      </c>
      <c r="C881" t="inlineStr">
        <is>
          <t>AL</t>
        </is>
      </c>
      <c r="D881" t="inlineStr">
        <is>
          <t>Metropolitan</t>
        </is>
      </c>
      <c r="E881" s="5" t="n">
        <v>1242</v>
      </c>
      <c r="F881" s="4" t="n">
        <v>0.5507246376811594</v>
      </c>
      <c r="G881" s="4" t="n">
        <v>0.531650737727181</v>
      </c>
      <c r="H881" s="3" t="n">
        <v>20330553.00720646</v>
      </c>
      <c r="I881" s="3" t="n">
        <v>63625.57959885895</v>
      </c>
      <c r="J881" s="4" t="n">
        <v>0.0031295547925482</v>
      </c>
      <c r="K881">
        <f>IF(AND(I881&gt;0,J881&gt;=Assumptions!$B$4),1,0)</f>
        <v/>
      </c>
      <c r="L881" s="3">
        <f>I881*K881</f>
        <v/>
      </c>
      <c r="M881">
        <f>SUM($K$2:K881)</f>
        <v/>
      </c>
    </row>
    <row r="882">
      <c r="A882" t="inlineStr">
        <is>
          <t>520063</t>
        </is>
      </c>
      <c r="B882" t="inlineStr">
        <is>
          <t>Froedtert West Bend Hospital</t>
        </is>
      </c>
      <c r="C882" t="inlineStr">
        <is>
          <t>WI</t>
        </is>
      </c>
      <c r="D882" t="inlineStr">
        <is>
          <t>Metropolitan</t>
        </is>
      </c>
      <c r="E882" s="5" t="n">
        <v>435</v>
      </c>
      <c r="F882" s="4" t="n">
        <v>0.6758620689655173</v>
      </c>
      <c r="G882" s="4" t="n">
        <v>0.7010577215461199</v>
      </c>
      <c r="H882" s="3" t="n">
        <v>5730086.585994004</v>
      </c>
      <c r="I882" s="3" t="n">
        <v>62687.16034998</v>
      </c>
      <c r="J882" s="4" t="n">
        <v>0.0109400022860397</v>
      </c>
      <c r="K882">
        <f>IF(AND(I882&gt;0,J882&gt;=Assumptions!$B$4),1,0)</f>
        <v/>
      </c>
      <c r="L882" s="3">
        <f>I882*K882</f>
        <v/>
      </c>
      <c r="M882">
        <f>SUM($K$2:K882)</f>
        <v/>
      </c>
    </row>
    <row r="883">
      <c r="A883" t="inlineStr">
        <is>
          <t>220035</t>
        </is>
      </c>
      <c r="B883" t="inlineStr">
        <is>
          <t>North Shore Medical Center -</t>
        </is>
      </c>
      <c r="C883" t="inlineStr">
        <is>
          <t>MA</t>
        </is>
      </c>
      <c r="D883" t="inlineStr">
        <is>
          <t>Metropolitan</t>
        </is>
      </c>
      <c r="E883" s="5" t="n">
        <v>5055</v>
      </c>
      <c r="F883" s="4" t="n">
        <v>0.559841740850643</v>
      </c>
      <c r="G883" s="4" t="n">
        <v>0.5625134505770576</v>
      </c>
      <c r="H883" s="3" t="n">
        <v>67629610.55961744</v>
      </c>
      <c r="I883" s="3" t="n">
        <v>58731.74680282176</v>
      </c>
      <c r="J883" s="4" t="n">
        <v>0.0008684324265189</v>
      </c>
      <c r="K883">
        <f>IF(AND(I883&gt;0,J883&gt;=Assumptions!$B$4),1,0)</f>
        <v/>
      </c>
      <c r="L883" s="3">
        <f>I883*K883</f>
        <v/>
      </c>
      <c r="M883">
        <f>SUM($K$2:K883)</f>
        <v/>
      </c>
    </row>
    <row r="884">
      <c r="A884" t="inlineStr">
        <is>
          <t>330162</t>
        </is>
      </c>
      <c r="B884" t="inlineStr">
        <is>
          <t>Northern Westchester Hospital</t>
        </is>
      </c>
      <c r="C884" t="inlineStr">
        <is>
          <t>NY</t>
        </is>
      </c>
      <c r="D884" t="inlineStr">
        <is>
          <t>Metropolitan</t>
        </is>
      </c>
      <c r="E884" s="5" t="n">
        <v>1459</v>
      </c>
      <c r="F884" s="4" t="n">
        <v>0.6223440712816998</v>
      </c>
      <c r="G884" s="4" t="n">
        <v>0.6246901068479671</v>
      </c>
      <c r="H884" s="3" t="n">
        <v>24268995.18996665</v>
      </c>
      <c r="I884" s="3" t="n">
        <v>58388.2301380001</v>
      </c>
      <c r="J884" s="4" t="n">
        <v>0.0024058775273126</v>
      </c>
      <c r="K884">
        <f>IF(AND(I884&gt;0,J884&gt;=Assumptions!$B$4),1,0)</f>
        <v/>
      </c>
      <c r="L884" s="3">
        <f>I884*K884</f>
        <v/>
      </c>
      <c r="M884">
        <f>SUM($K$2:K884)</f>
        <v/>
      </c>
    </row>
    <row r="885">
      <c r="A885" t="inlineStr">
        <is>
          <t>450840</t>
        </is>
      </c>
      <c r="B885" t="inlineStr">
        <is>
          <t>Texas Health Presbyterian Hospital Allen</t>
        </is>
      </c>
      <c r="C885" t="inlineStr">
        <is>
          <t>TX</t>
        </is>
      </c>
      <c r="D885" t="inlineStr">
        <is>
          <t>Metropolitan</t>
        </is>
      </c>
      <c r="E885" s="5" t="n">
        <v>344</v>
      </c>
      <c r="F885" s="4" t="n">
        <v>0.6569767441860465</v>
      </c>
      <c r="G885" s="4" t="n">
        <v>0.701904388683222</v>
      </c>
      <c r="H885" s="3" t="n">
        <v>4205697.142958692</v>
      </c>
      <c r="I885" s="3" t="n">
        <v>57942.63376703579</v>
      </c>
      <c r="J885" s="4" t="n">
        <v>0.0137771769572245</v>
      </c>
      <c r="K885">
        <f>IF(AND(I885&gt;0,J885&gt;=Assumptions!$B$4),1,0)</f>
        <v/>
      </c>
      <c r="L885" s="3">
        <f>I885*K885</f>
        <v/>
      </c>
      <c r="M885">
        <f>SUM($K$2:K885)</f>
        <v/>
      </c>
    </row>
    <row r="886">
      <c r="A886" t="inlineStr">
        <is>
          <t>080009</t>
        </is>
      </c>
      <c r="B886" t="inlineStr">
        <is>
          <t>Bayhealth Hospital, Sussex Campus</t>
        </is>
      </c>
      <c r="C886" t="inlineStr">
        <is>
          <t>DE</t>
        </is>
      </c>
      <c r="D886" t="inlineStr">
        <is>
          <t>Micropolitan</t>
        </is>
      </c>
      <c r="E886" s="5" t="n">
        <v>1249</v>
      </c>
      <c r="F886" s="4" t="n">
        <v>0.6397117694155324</v>
      </c>
      <c r="G886" s="4" t="n">
        <v>0.6527661717416947</v>
      </c>
      <c r="H886" s="3" t="n">
        <v>16137710.18338557</v>
      </c>
      <c r="I886" s="3" t="n">
        <v>57653.30068412609</v>
      </c>
      <c r="J886" s="4" t="n">
        <v>0.0035725824809694</v>
      </c>
      <c r="K886">
        <f>IF(AND(I886&gt;0,J886&gt;=Assumptions!$B$4),1,0)</f>
        <v/>
      </c>
      <c r="L886" s="3">
        <f>I886*K886</f>
        <v/>
      </c>
      <c r="M886">
        <f>SUM($K$2:K886)</f>
        <v/>
      </c>
    </row>
    <row r="887">
      <c r="A887" t="inlineStr">
        <is>
          <t>390228</t>
        </is>
      </c>
      <c r="B887" t="inlineStr">
        <is>
          <t>St Clair Hospital</t>
        </is>
      </c>
      <c r="C887" t="inlineStr">
        <is>
          <t>PA</t>
        </is>
      </c>
      <c r="D887" t="inlineStr">
        <is>
          <t>Metropolitan</t>
        </is>
      </c>
      <c r="E887" s="5" t="n">
        <v>1483</v>
      </c>
      <c r="F887" s="4" t="n">
        <v>0.5900202292650034</v>
      </c>
      <c r="G887" s="4" t="n">
        <v>0.5831969980574462</v>
      </c>
      <c r="H887" s="3" t="n">
        <v>20842593.64400515</v>
      </c>
      <c r="I887" s="3" t="n">
        <v>56907.06094067544</v>
      </c>
      <c r="J887" s="4" t="n">
        <v>0.0027303253094435</v>
      </c>
      <c r="K887">
        <f>IF(AND(I887&gt;0,J887&gt;=Assumptions!$B$4),1,0)</f>
        <v/>
      </c>
      <c r="L887" s="3">
        <f>I887*K887</f>
        <v/>
      </c>
      <c r="M887">
        <f>SUM($K$2:K887)</f>
        <v/>
      </c>
    </row>
    <row r="888">
      <c r="A888" t="inlineStr">
        <is>
          <t>270051</t>
        </is>
      </c>
      <c r="B888" t="inlineStr">
        <is>
          <t>Logan Health Medical Center</t>
        </is>
      </c>
      <c r="C888" t="inlineStr">
        <is>
          <t>MT</t>
        </is>
      </c>
      <c r="D888" t="inlineStr">
        <is>
          <t>Micropolitan</t>
        </is>
      </c>
      <c r="E888" s="5" t="n">
        <v>1252</v>
      </c>
      <c r="F888" s="4" t="n">
        <v>0.5798722044728435</v>
      </c>
      <c r="G888" s="4" t="n">
        <v>0.5585218987901718</v>
      </c>
      <c r="H888" s="3" t="n">
        <v>24230221.47028806</v>
      </c>
      <c r="I888" s="3" t="n">
        <v>55904.70526914299</v>
      </c>
      <c r="J888" s="4" t="n">
        <v>0.0023072304699193</v>
      </c>
      <c r="K888">
        <f>IF(AND(I888&gt;0,J888&gt;=Assumptions!$B$4),1,0)</f>
        <v/>
      </c>
      <c r="L888" s="3">
        <f>I888*K888</f>
        <v/>
      </c>
      <c r="M888">
        <f>SUM($K$2:K888)</f>
        <v/>
      </c>
    </row>
    <row r="889">
      <c r="A889" t="inlineStr">
        <is>
          <t>050115</t>
        </is>
      </c>
      <c r="B889" t="inlineStr">
        <is>
          <t>Palomar Health Downtown Campus</t>
        </is>
      </c>
      <c r="C889" t="inlineStr">
        <is>
          <t>CA</t>
        </is>
      </c>
      <c r="D889" t="inlineStr">
        <is>
          <t>Metropolitan</t>
        </is>
      </c>
      <c r="E889" s="5" t="n">
        <v>2299</v>
      </c>
      <c r="F889" s="4" t="n">
        <v>0.5880817746846455</v>
      </c>
      <c r="G889" s="4" t="n">
        <v>0.5722159129574911</v>
      </c>
      <c r="H889" s="3" t="n">
        <v>35458367.75190685</v>
      </c>
      <c r="I889" s="3" t="n">
        <v>55877.83721192181</v>
      </c>
      <c r="J889" s="4" t="n">
        <v>0.0015758716702044</v>
      </c>
      <c r="K889">
        <f>IF(AND(I889&gt;0,J889&gt;=Assumptions!$B$4),1,0)</f>
        <v/>
      </c>
      <c r="L889" s="3">
        <f>I889*K889</f>
        <v/>
      </c>
      <c r="M889">
        <f>SUM($K$2:K889)</f>
        <v/>
      </c>
    </row>
    <row r="890">
      <c r="A890" t="inlineStr">
        <is>
          <t>260214</t>
        </is>
      </c>
      <c r="B890" t="inlineStr">
        <is>
          <t>Belton Regional Medical Center</t>
        </is>
      </c>
      <c r="C890" t="inlineStr">
        <is>
          <t>MO</t>
        </is>
      </c>
      <c r="D890" t="inlineStr">
        <is>
          <t>Metropolitan</t>
        </is>
      </c>
      <c r="E890" s="5" t="n">
        <v>394</v>
      </c>
      <c r="F890" s="4" t="n">
        <v>0.6142131979695431</v>
      </c>
      <c r="G890" s="4" t="n">
        <v>0.6571273635791101</v>
      </c>
      <c r="H890" s="3" t="n">
        <v>5408502.504945793</v>
      </c>
      <c r="I890" s="3" t="n">
        <v>54048.2039386509</v>
      </c>
      <c r="J890" s="4" t="n">
        <v>0.0099931919952383</v>
      </c>
      <c r="K890">
        <f>IF(AND(I890&gt;0,J890&gt;=Assumptions!$B$4),1,0)</f>
        <v/>
      </c>
      <c r="L890" s="3">
        <f>I890*K890</f>
        <v/>
      </c>
      <c r="M890">
        <f>SUM($K$2:K890)</f>
        <v/>
      </c>
    </row>
    <row r="891">
      <c r="A891" t="inlineStr">
        <is>
          <t>050380</t>
        </is>
      </c>
      <c r="B891" t="inlineStr">
        <is>
          <t>Good Samaritan Hospital</t>
        </is>
      </c>
      <c r="C891" t="inlineStr">
        <is>
          <t>CA</t>
        </is>
      </c>
      <c r="D891" t="inlineStr">
        <is>
          <t>Metropolitan</t>
        </is>
      </c>
      <c r="E891" s="5" t="n">
        <v>3130</v>
      </c>
      <c r="F891" s="4" t="n">
        <v>0.5869009584664536</v>
      </c>
      <c r="G891" s="4" t="n">
        <v>0.5918198921335293</v>
      </c>
      <c r="H891" s="3" t="n">
        <v>46643621.58158375</v>
      </c>
      <c r="I891" s="3" t="n">
        <v>53711.32279478014</v>
      </c>
      <c r="J891" s="4" t="n">
        <v>0.001151525567131</v>
      </c>
      <c r="K891">
        <f>IF(AND(I891&gt;0,J891&gt;=Assumptions!$B$4),1,0)</f>
        <v/>
      </c>
      <c r="L891" s="3">
        <f>I891*K891</f>
        <v/>
      </c>
      <c r="M891">
        <f>SUM($K$2:K891)</f>
        <v/>
      </c>
    </row>
    <row r="892">
      <c r="A892" t="inlineStr">
        <is>
          <t>520013</t>
        </is>
      </c>
      <c r="B892" t="inlineStr">
        <is>
          <t>Sacred Heart Hospital</t>
        </is>
      </c>
      <c r="C892" t="inlineStr">
        <is>
          <t>WI</t>
        </is>
      </c>
      <c r="D892" t="inlineStr">
        <is>
          <t>Metropolitan</t>
        </is>
      </c>
      <c r="E892" s="5" t="n">
        <v>826</v>
      </c>
      <c r="F892" s="4" t="n">
        <v>0.6283292978208233</v>
      </c>
      <c r="G892" s="4" t="n">
        <v>0.6521090511001214</v>
      </c>
      <c r="H892" s="3" t="n">
        <v>13238696.55443159</v>
      </c>
      <c r="I892" s="3" t="n">
        <v>53613.20210594498</v>
      </c>
      <c r="J892" s="4" t="n">
        <v>0.0040497341929027</v>
      </c>
      <c r="K892">
        <f>IF(AND(I892&gt;0,J892&gt;=Assumptions!$B$4),1,0)</f>
        <v/>
      </c>
      <c r="L892" s="3">
        <f>I892*K892</f>
        <v/>
      </c>
      <c r="M892">
        <f>SUM($K$2:K892)</f>
        <v/>
      </c>
    </row>
    <row r="893">
      <c r="A893" t="inlineStr">
        <is>
          <t>670088</t>
        </is>
      </c>
      <c r="B893" t="inlineStr">
        <is>
          <t>Baylor Scott &amp; White Medical Center- College Stati</t>
        </is>
      </c>
      <c r="C893" t="inlineStr">
        <is>
          <t>TX</t>
        </is>
      </c>
      <c r="D893" t="inlineStr">
        <is>
          <t>Metropolitan</t>
        </is>
      </c>
      <c r="E893" s="5" t="n">
        <v>1290</v>
      </c>
      <c r="F893" s="4" t="n">
        <v>0.5891472868217055</v>
      </c>
      <c r="G893" s="4" t="n">
        <v>0.5874865001291855</v>
      </c>
      <c r="H893" s="3" t="n">
        <v>22120241.15345446</v>
      </c>
      <c r="I893" s="3" t="n">
        <v>53369.82596646622</v>
      </c>
      <c r="J893" s="4" t="n">
        <v>0.0024127144725152</v>
      </c>
      <c r="K893">
        <f>IF(AND(I893&gt;0,J893&gt;=Assumptions!$B$4),1,0)</f>
        <v/>
      </c>
      <c r="L893" s="3">
        <f>I893*K893</f>
        <v/>
      </c>
      <c r="M893">
        <f>SUM($K$2:K893)</f>
        <v/>
      </c>
    </row>
    <row r="894">
      <c r="A894" t="inlineStr">
        <is>
          <t>070029</t>
        </is>
      </c>
      <c r="B894" t="inlineStr">
        <is>
          <t>Bristol Hospital</t>
        </is>
      </c>
      <c r="C894" t="inlineStr">
        <is>
          <t>CT</t>
        </is>
      </c>
      <c r="D894" t="inlineStr">
        <is>
          <t>Metropolitan</t>
        </is>
      </c>
      <c r="E894" s="5" t="n">
        <v>375</v>
      </c>
      <c r="F894" s="4" t="n">
        <v>0.744</v>
      </c>
      <c r="G894" s="4" t="n">
        <v>0.7319351784292154</v>
      </c>
      <c r="H894" s="3" t="n">
        <v>4947350.408413317</v>
      </c>
      <c r="I894" s="3" t="n">
        <v>53233.78153260239</v>
      </c>
      <c r="J894" s="4" t="n">
        <v>0.0107600588472719</v>
      </c>
      <c r="K894">
        <f>IF(AND(I894&gt;0,J894&gt;=Assumptions!$B$4),1,0)</f>
        <v/>
      </c>
      <c r="L894" s="3">
        <f>I894*K894</f>
        <v/>
      </c>
      <c r="M894">
        <f>SUM($K$2:K894)</f>
        <v/>
      </c>
    </row>
    <row r="895">
      <c r="A895" t="inlineStr">
        <is>
          <t>050498</t>
        </is>
      </c>
      <c r="B895" t="inlineStr">
        <is>
          <t>Sutter Auburn Faith Hospital</t>
        </is>
      </c>
      <c r="C895" t="inlineStr">
        <is>
          <t>CA</t>
        </is>
      </c>
      <c r="D895" t="inlineStr">
        <is>
          <t>Micropolitan</t>
        </is>
      </c>
      <c r="E895" s="5" t="n">
        <v>646</v>
      </c>
      <c r="F895" s="4" t="n">
        <v>0.6455108359133127</v>
      </c>
      <c r="G895" s="4" t="n">
        <v>0.6794354787173514</v>
      </c>
      <c r="H895" s="3" t="n">
        <v>9303696.3800712</v>
      </c>
      <c r="I895" s="3" t="n">
        <v>53131.60820555128</v>
      </c>
      <c r="J895" s="4" t="n">
        <v>0.0057108063327776</v>
      </c>
      <c r="K895">
        <f>IF(AND(I895&gt;0,J895&gt;=Assumptions!$B$4),1,0)</f>
        <v/>
      </c>
      <c r="L895" s="3">
        <f>I895*K895</f>
        <v/>
      </c>
      <c r="M895">
        <f>SUM($K$2:K895)</f>
        <v/>
      </c>
    </row>
    <row r="896">
      <c r="A896" t="inlineStr">
        <is>
          <t>330175</t>
        </is>
      </c>
      <c r="B896" t="inlineStr">
        <is>
          <t>Guthrie Cortland Regional Medical Center</t>
        </is>
      </c>
      <c r="C896" t="inlineStr">
        <is>
          <t>NY</t>
        </is>
      </c>
      <c r="D896" t="inlineStr">
        <is>
          <t>Micropolitan</t>
        </is>
      </c>
      <c r="E896" s="5" t="n">
        <v>467</v>
      </c>
      <c r="F896" s="4" t="n">
        <v>0.715203426124197</v>
      </c>
      <c r="G896" s="4" t="n">
        <v>0.7236642338547069</v>
      </c>
      <c r="H896" s="3" t="n">
        <v>5797315.367890097</v>
      </c>
      <c r="I896" s="3" t="n">
        <v>52954.95907890424</v>
      </c>
      <c r="J896" s="4" t="n">
        <v>0.009134393373216899</v>
      </c>
      <c r="K896">
        <f>IF(AND(I896&gt;0,J896&gt;=Assumptions!$B$4),1,0)</f>
        <v/>
      </c>
      <c r="L896" s="3">
        <f>I896*K896</f>
        <v/>
      </c>
      <c r="M896">
        <f>SUM($K$2:K896)</f>
        <v/>
      </c>
    </row>
    <row r="897">
      <c r="A897" t="inlineStr">
        <is>
          <t>100125</t>
        </is>
      </c>
      <c r="B897" t="inlineStr">
        <is>
          <t>Homestead Hospital</t>
        </is>
      </c>
      <c r="C897" t="inlineStr">
        <is>
          <t>FL</t>
        </is>
      </c>
      <c r="D897" t="inlineStr">
        <is>
          <t>Metropolitan</t>
        </is>
      </c>
      <c r="E897" s="5" t="n">
        <v>354</v>
      </c>
      <c r="F897" s="4" t="n">
        <v>0.6864406779661016</v>
      </c>
      <c r="G897" s="4" t="n">
        <v>0.7128837708498235</v>
      </c>
      <c r="H897" s="3" t="n">
        <v>4573497.635609581</v>
      </c>
      <c r="I897" s="3" t="n">
        <v>52589.86259593163</v>
      </c>
      <c r="J897" s="4" t="n">
        <v>0.0114988279837433</v>
      </c>
      <c r="K897">
        <f>IF(AND(I897&gt;0,J897&gt;=Assumptions!$B$4),1,0)</f>
        <v/>
      </c>
      <c r="L897" s="3">
        <f>I897*K897</f>
        <v/>
      </c>
      <c r="M897">
        <f>SUM($K$2:K897)</f>
        <v/>
      </c>
    </row>
    <row r="898">
      <c r="A898" t="inlineStr">
        <is>
          <t>440081</t>
        </is>
      </c>
      <c r="B898" t="inlineStr">
        <is>
          <t>Leconte Medical Center</t>
        </is>
      </c>
      <c r="C898" t="inlineStr">
        <is>
          <t>TN</t>
        </is>
      </c>
      <c r="D898" t="inlineStr">
        <is>
          <t>Micropolitan</t>
        </is>
      </c>
      <c r="E898" s="5" t="n">
        <v>381</v>
      </c>
      <c r="F898" s="4" t="n">
        <v>0.6745406824146981</v>
      </c>
      <c r="G898" s="4" t="n">
        <v>0.713933544536523</v>
      </c>
      <c r="H898" s="3" t="n">
        <v>5858948.273896552</v>
      </c>
      <c r="I898" s="3" t="n">
        <v>52446.20738853887</v>
      </c>
      <c r="J898" s="4" t="n">
        <v>0.008951471311361901</v>
      </c>
      <c r="K898">
        <f>IF(AND(I898&gt;0,J898&gt;=Assumptions!$B$4),1,0)</f>
        <v/>
      </c>
      <c r="L898" s="3">
        <f>I898*K898</f>
        <v/>
      </c>
      <c r="M898">
        <f>SUM($K$2:K898)</f>
        <v/>
      </c>
    </row>
    <row r="899">
      <c r="A899" t="inlineStr">
        <is>
          <t>420110</t>
        </is>
      </c>
      <c r="B899" t="inlineStr">
        <is>
          <t>Roper St Francis Hospital-Berkely Inc</t>
        </is>
      </c>
      <c r="C899" t="inlineStr">
        <is>
          <t>SC</t>
        </is>
      </c>
      <c r="D899" t="inlineStr">
        <is>
          <t>Metropolitan</t>
        </is>
      </c>
      <c r="E899" s="5" t="n">
        <v>490</v>
      </c>
      <c r="F899" s="4" t="n">
        <v>0.6591836734693878</v>
      </c>
      <c r="G899" s="4" t="n">
        <v>0.6627729287657438</v>
      </c>
      <c r="H899" s="3" t="n">
        <v>6268461.863288465</v>
      </c>
      <c r="I899" s="3" t="n">
        <v>52174.244177958</v>
      </c>
      <c r="J899" s="4" t="n">
        <v>0.0083232929091455</v>
      </c>
      <c r="K899">
        <f>IF(AND(I899&gt;0,J899&gt;=Assumptions!$B$4),1,0)</f>
        <v/>
      </c>
      <c r="L899" s="3">
        <f>I899*K899</f>
        <v/>
      </c>
      <c r="M899">
        <f>SUM($K$2:K899)</f>
        <v/>
      </c>
    </row>
    <row r="900">
      <c r="A900" t="inlineStr">
        <is>
          <t>180045</t>
        </is>
      </c>
      <c r="B900" t="inlineStr">
        <is>
          <t>St Elizabeth Florence</t>
        </is>
      </c>
      <c r="C900" t="inlineStr">
        <is>
          <t>KY</t>
        </is>
      </c>
      <c r="D900" t="inlineStr">
        <is>
          <t>Metropolitan</t>
        </is>
      </c>
      <c r="E900" s="5" t="n">
        <v>1416</v>
      </c>
      <c r="F900" s="4" t="n">
        <v>0.6207627118644068</v>
      </c>
      <c r="G900" s="4" t="n">
        <v>0.6182632311098764</v>
      </c>
      <c r="H900" s="3" t="n">
        <v>21176448.52894312</v>
      </c>
      <c r="I900" s="3" t="n">
        <v>52151.12699675188</v>
      </c>
      <c r="J900" s="4" t="n">
        <v>0.0024626946735414</v>
      </c>
      <c r="K900">
        <f>IF(AND(I900&gt;0,J900&gt;=Assumptions!$B$4),1,0)</f>
        <v/>
      </c>
      <c r="L900" s="3">
        <f>I900*K900</f>
        <v/>
      </c>
      <c r="M900">
        <f>SUM($K$2:K900)</f>
        <v/>
      </c>
    </row>
    <row r="901">
      <c r="A901" t="inlineStr">
        <is>
          <t>230075</t>
        </is>
      </c>
      <c r="B901" t="inlineStr">
        <is>
          <t>Bronson Battle Creek Hospital</t>
        </is>
      </c>
      <c r="C901" t="inlineStr">
        <is>
          <t>MI</t>
        </is>
      </c>
      <c r="D901" t="inlineStr">
        <is>
          <t>Metropolitan</t>
        </is>
      </c>
      <c r="E901" s="5" t="n">
        <v>1079</v>
      </c>
      <c r="F901" s="4" t="n">
        <v>0.5727525486561631</v>
      </c>
      <c r="G901" s="4" t="n">
        <v>0.592895985240941</v>
      </c>
      <c r="H901" s="3" t="n">
        <v>14251842.95336173</v>
      </c>
      <c r="I901" s="3" t="n">
        <v>51898.57791205682</v>
      </c>
      <c r="J901" s="4" t="n">
        <v>0.0036415345076346</v>
      </c>
      <c r="K901">
        <f>IF(AND(I901&gt;0,J901&gt;=Assumptions!$B$4),1,0)</f>
        <v/>
      </c>
      <c r="L901" s="3">
        <f>I901*K901</f>
        <v/>
      </c>
      <c r="M901">
        <f>SUM($K$2:K901)</f>
        <v/>
      </c>
    </row>
    <row r="902">
      <c r="A902" t="inlineStr">
        <is>
          <t>520202</t>
        </is>
      </c>
      <c r="B902" t="inlineStr">
        <is>
          <t>Marshfield Medical Center - Weston</t>
        </is>
      </c>
      <c r="C902" t="inlineStr">
        <is>
          <t>WI</t>
        </is>
      </c>
      <c r="D902" t="inlineStr">
        <is>
          <t>Metropolitan</t>
        </is>
      </c>
      <c r="E902" s="5" t="n">
        <v>545</v>
      </c>
      <c r="F902" s="4" t="n">
        <v>0.6807339449541284</v>
      </c>
      <c r="G902" s="4" t="n">
        <v>0.6701549111887287</v>
      </c>
      <c r="H902" s="3" t="n">
        <v>8118795.247650831</v>
      </c>
      <c r="I902" s="3" t="n">
        <v>51835.23658133391</v>
      </c>
      <c r="J902" s="4" t="n">
        <v>0.0063845970984835</v>
      </c>
      <c r="K902">
        <f>IF(AND(I902&gt;0,J902&gt;=Assumptions!$B$4),1,0)</f>
        <v/>
      </c>
      <c r="L902" s="3">
        <f>I902*K902</f>
        <v/>
      </c>
      <c r="M902">
        <f>SUM($K$2:K902)</f>
        <v/>
      </c>
    </row>
    <row r="903">
      <c r="A903" t="inlineStr">
        <is>
          <t>380027</t>
        </is>
      </c>
      <c r="B903" t="inlineStr">
        <is>
          <t>Mercy Medical Center</t>
        </is>
      </c>
      <c r="C903" t="inlineStr">
        <is>
          <t>OR</t>
        </is>
      </c>
      <c r="D903" t="inlineStr">
        <is>
          <t>Micropolitan</t>
        </is>
      </c>
      <c r="E903" s="5" t="n">
        <v>844</v>
      </c>
      <c r="F903" s="4" t="n">
        <v>0.6575829383886256</v>
      </c>
      <c r="G903" s="4" t="n">
        <v>0.6539102800120464</v>
      </c>
      <c r="H903" s="3" t="n">
        <v>11997448.45307637</v>
      </c>
      <c r="I903" s="3" t="n">
        <v>51235.84865667857</v>
      </c>
      <c r="J903" s="4" t="n">
        <v>0.0042705620996888</v>
      </c>
      <c r="K903">
        <f>IF(AND(I903&gt;0,J903&gt;=Assumptions!$B$4),1,0)</f>
        <v/>
      </c>
      <c r="L903" s="3">
        <f>I903*K903</f>
        <v/>
      </c>
      <c r="M903">
        <f>SUM($K$2:K903)</f>
        <v/>
      </c>
    </row>
    <row r="904">
      <c r="A904" t="inlineStr">
        <is>
          <t>170020</t>
        </is>
      </c>
      <c r="B904" t="inlineStr">
        <is>
          <t>Hutchinson Regional Medical Center Inc</t>
        </is>
      </c>
      <c r="C904" t="inlineStr">
        <is>
          <t>KS</t>
        </is>
      </c>
      <c r="D904" t="inlineStr">
        <is>
          <t>Micropolitan</t>
        </is>
      </c>
      <c r="E904" s="5" t="n">
        <v>1096</v>
      </c>
      <c r="F904" s="4" t="n">
        <v>0.6432481751824818</v>
      </c>
      <c r="G904" s="4" t="n">
        <v>0.6478013893921275</v>
      </c>
      <c r="H904" s="3" t="n">
        <v>15496904.59078092</v>
      </c>
      <c r="I904" s="3" t="n">
        <v>50863.21588128433</v>
      </c>
      <c r="J904" s="4" t="n">
        <v>0.0032821532573377</v>
      </c>
      <c r="K904">
        <f>IF(AND(I904&gt;0,J904&gt;=Assumptions!$B$4),1,0)</f>
        <v/>
      </c>
      <c r="L904" s="3">
        <f>I904*K904</f>
        <v/>
      </c>
      <c r="M904">
        <f>SUM($K$2:K904)</f>
        <v/>
      </c>
    </row>
    <row r="905">
      <c r="A905" t="inlineStr">
        <is>
          <t>140251</t>
        </is>
      </c>
      <c r="B905" t="inlineStr">
        <is>
          <t>Community First Medical Center</t>
        </is>
      </c>
      <c r="C905" t="inlineStr">
        <is>
          <t>IL</t>
        </is>
      </c>
      <c r="D905" t="inlineStr">
        <is>
          <t>Metropolitan</t>
        </is>
      </c>
      <c r="E905" s="5" t="n">
        <v>442</v>
      </c>
      <c r="F905" s="4" t="n">
        <v>0.6402714932126696</v>
      </c>
      <c r="G905" s="4" t="n">
        <v>0.6805316018503437</v>
      </c>
      <c r="H905" s="3" t="n">
        <v>5757481.630664462</v>
      </c>
      <c r="I905" s="3" t="n">
        <v>50750.18183522392</v>
      </c>
      <c r="J905" s="4" t="n">
        <v>0.0088146493711638</v>
      </c>
      <c r="K905">
        <f>IF(AND(I905&gt;0,J905&gt;=Assumptions!$B$4),1,0)</f>
        <v/>
      </c>
      <c r="L905" s="3">
        <f>I905*K905</f>
        <v/>
      </c>
      <c r="M905">
        <f>SUM($K$2:K905)</f>
        <v/>
      </c>
    </row>
    <row r="906">
      <c r="A906" t="inlineStr">
        <is>
          <t>670044</t>
        </is>
      </c>
      <c r="B906" t="inlineStr">
        <is>
          <t>Texas Health Presbyterian Hospital Rockwall</t>
        </is>
      </c>
      <c r="C906" t="inlineStr">
        <is>
          <t>TX</t>
        </is>
      </c>
      <c r="D906" t="inlineStr">
        <is>
          <t>Metropolitan</t>
        </is>
      </c>
      <c r="E906" s="5" t="n">
        <v>517</v>
      </c>
      <c r="F906" s="4" t="n">
        <v>0.6731141199226306</v>
      </c>
      <c r="G906" s="4" t="n">
        <v>0.6921277689045718</v>
      </c>
      <c r="H906" s="3" t="n">
        <v>7182616.778936584</v>
      </c>
      <c r="I906" s="3" t="n">
        <v>50658.57211733609</v>
      </c>
      <c r="J906" s="4" t="n">
        <v>0.0070529409651779</v>
      </c>
      <c r="K906">
        <f>IF(AND(I906&gt;0,J906&gt;=Assumptions!$B$4),1,0)</f>
        <v/>
      </c>
      <c r="L906" s="3">
        <f>I906*K906</f>
        <v/>
      </c>
      <c r="M906">
        <f>SUM($K$2:K906)</f>
        <v/>
      </c>
    </row>
    <row r="907">
      <c r="A907" t="inlineStr">
        <is>
          <t>140101</t>
        </is>
      </c>
      <c r="B907" t="inlineStr">
        <is>
          <t>Morris Hospital &amp; Healthcare Centers</t>
        </is>
      </c>
      <c r="C907" t="inlineStr">
        <is>
          <t>IL</t>
        </is>
      </c>
      <c r="D907" t="inlineStr">
        <is>
          <t>Micropolitan</t>
        </is>
      </c>
      <c r="E907" s="5" t="n">
        <v>807</v>
      </c>
      <c r="F907" s="4" t="n">
        <v>0.6517967781908303</v>
      </c>
      <c r="G907" s="4" t="n">
        <v>0.6454253941366507</v>
      </c>
      <c r="H907" s="3" t="n">
        <v>10274836.88330136</v>
      </c>
      <c r="I907" s="3" t="n">
        <v>48539.56511556171</v>
      </c>
      <c r="J907" s="4" t="n">
        <v>0.0047241202626241</v>
      </c>
      <c r="K907">
        <f>IF(AND(I907&gt;0,J907&gt;=Assumptions!$B$4),1,0)</f>
        <v/>
      </c>
      <c r="L907" s="3">
        <f>I907*K907</f>
        <v/>
      </c>
      <c r="M907">
        <f>SUM($K$2:K907)</f>
        <v/>
      </c>
    </row>
    <row r="908">
      <c r="A908" t="inlineStr">
        <is>
          <t>010083</t>
        </is>
      </c>
      <c r="B908" t="inlineStr">
        <is>
          <t>South Baldwin Regional Medical Center</t>
        </is>
      </c>
      <c r="C908" t="inlineStr">
        <is>
          <t>AL</t>
        </is>
      </c>
      <c r="D908" t="inlineStr">
        <is>
          <t>Small town</t>
        </is>
      </c>
      <c r="E908" s="5" t="n">
        <v>881</v>
      </c>
      <c r="F908" s="4" t="n">
        <v>0.5221339387060159</v>
      </c>
      <c r="G908" s="4" t="n">
        <v>0.5606003581850991</v>
      </c>
      <c r="H908" s="3" t="n">
        <v>11902750.26312752</v>
      </c>
      <c r="I908" s="3" t="n">
        <v>48274.12341977842</v>
      </c>
      <c r="J908" s="4" t="n">
        <v>0.0040557116928952</v>
      </c>
      <c r="K908">
        <f>IF(AND(I908&gt;0,J908&gt;=Assumptions!$B$4),1,0)</f>
        <v/>
      </c>
      <c r="L908" s="3">
        <f>I908*K908</f>
        <v/>
      </c>
      <c r="M908">
        <f>SUM($K$2:K908)</f>
        <v/>
      </c>
    </row>
    <row r="909">
      <c r="A909" t="inlineStr">
        <is>
          <t>110091</t>
        </is>
      </c>
      <c r="B909" t="inlineStr">
        <is>
          <t>Piedmont Rockdale Hospital</t>
        </is>
      </c>
      <c r="C909" t="inlineStr">
        <is>
          <t>GA</t>
        </is>
      </c>
      <c r="D909" t="inlineStr">
        <is>
          <t>Metropolitan</t>
        </is>
      </c>
      <c r="E909" s="5" t="n">
        <v>872</v>
      </c>
      <c r="F909" s="4" t="n">
        <v>0.7350917431192661</v>
      </c>
      <c r="G909" s="4" t="n">
        <v>0.711428189980144</v>
      </c>
      <c r="H909" s="3" t="n">
        <v>12415500.1670785</v>
      </c>
      <c r="I909" s="3" t="n">
        <v>48103.8284500502</v>
      </c>
      <c r="J909" s="4" t="n">
        <v>0.0038744978295441</v>
      </c>
      <c r="K909">
        <f>IF(AND(I909&gt;0,J909&gt;=Assumptions!$B$4),1,0)</f>
        <v/>
      </c>
      <c r="L909" s="3">
        <f>I909*K909</f>
        <v/>
      </c>
      <c r="M909">
        <f>SUM($K$2:K909)</f>
        <v/>
      </c>
    </row>
    <row r="910">
      <c r="A910" t="inlineStr">
        <is>
          <t>420020</t>
        </is>
      </c>
      <c r="B910" t="inlineStr">
        <is>
          <t>Tidelands Health</t>
        </is>
      </c>
      <c r="C910" t="inlineStr">
        <is>
          <t>SC</t>
        </is>
      </c>
      <c r="D910" t="inlineStr">
        <is>
          <t>Micropolitan</t>
        </is>
      </c>
      <c r="E910" s="5" t="n">
        <v>396</v>
      </c>
      <c r="F910" s="4" t="n">
        <v>0.6742424242424242</v>
      </c>
      <c r="G910" s="4" t="n">
        <v>0.6670764859357353</v>
      </c>
      <c r="H910" s="3" t="n">
        <v>4933685.503107171</v>
      </c>
      <c r="I910" s="3" t="n">
        <v>46826.63852627669</v>
      </c>
      <c r="J910" s="4" t="n">
        <v>0.009491208650568799</v>
      </c>
      <c r="K910">
        <f>IF(AND(I910&gt;0,J910&gt;=Assumptions!$B$4),1,0)</f>
        <v/>
      </c>
      <c r="L910" s="3">
        <f>I910*K910</f>
        <v/>
      </c>
      <c r="M910">
        <f>SUM($K$2:K910)</f>
        <v/>
      </c>
    </row>
    <row r="911">
      <c r="A911" t="inlineStr">
        <is>
          <t>440003</t>
        </is>
      </c>
      <c r="B911" t="inlineStr">
        <is>
          <t>Sumner Regional Medical Center</t>
        </is>
      </c>
      <c r="C911" t="inlineStr">
        <is>
          <t>TN</t>
        </is>
      </c>
      <c r="D911" t="inlineStr">
        <is>
          <t>Metropolitan</t>
        </is>
      </c>
      <c r="E911" s="5" t="n">
        <v>1038</v>
      </c>
      <c r="F911" s="4" t="n">
        <v>0.6425818882466281</v>
      </c>
      <c r="G911" s="4" t="n">
        <v>0.6616933515037476</v>
      </c>
      <c r="H911" s="3" t="n">
        <v>13701428.02930716</v>
      </c>
      <c r="I911" s="3" t="n">
        <v>45970.39849802479</v>
      </c>
      <c r="J911" s="4" t="n">
        <v>0.0033551538131423</v>
      </c>
      <c r="K911">
        <f>IF(AND(I911&gt;0,J911&gt;=Assumptions!$B$4),1,0)</f>
        <v/>
      </c>
      <c r="L911" s="3">
        <f>I911*K911</f>
        <v/>
      </c>
      <c r="M911">
        <f>SUM($K$2:K911)</f>
        <v/>
      </c>
    </row>
    <row r="912">
      <c r="A912" t="inlineStr">
        <is>
          <t>200001</t>
        </is>
      </c>
      <c r="B912" t="inlineStr">
        <is>
          <t>St Joseph Hospital</t>
        </is>
      </c>
      <c r="C912" t="inlineStr">
        <is>
          <t>ME</t>
        </is>
      </c>
      <c r="D912" t="inlineStr">
        <is>
          <t>Metropolitan</t>
        </is>
      </c>
      <c r="E912" s="5" t="n">
        <v>588</v>
      </c>
      <c r="F912" s="4" t="n">
        <v>0.6700680272108843</v>
      </c>
      <c r="G912" s="4" t="n">
        <v>0.6913998030768672</v>
      </c>
      <c r="H912" s="3" t="n">
        <v>7816021.479640705</v>
      </c>
      <c r="I912" s="3" t="n">
        <v>44869.9437223291</v>
      </c>
      <c r="J912" s="4" t="n">
        <v>0.0057407651500455</v>
      </c>
      <c r="K912">
        <f>IF(AND(I912&gt;0,J912&gt;=Assumptions!$B$4),1,0)</f>
        <v/>
      </c>
      <c r="L912" s="3">
        <f>I912*K912</f>
        <v/>
      </c>
      <c r="M912">
        <f>SUM($K$2:K912)</f>
        <v/>
      </c>
    </row>
    <row r="913">
      <c r="A913" t="inlineStr">
        <is>
          <t>490090</t>
        </is>
      </c>
      <c r="B913" t="inlineStr">
        <is>
          <t>Southside Community Hospital, Inc</t>
        </is>
      </c>
      <c r="C913" t="inlineStr">
        <is>
          <t>VA</t>
        </is>
      </c>
      <c r="D913" t="inlineStr">
        <is>
          <t>Small town</t>
        </is>
      </c>
      <c r="E913" s="5" t="n">
        <v>538</v>
      </c>
      <c r="F913" s="4" t="n">
        <v>0.7602230483271375</v>
      </c>
      <c r="G913" s="4" t="n">
        <v>0.7507060793512452</v>
      </c>
      <c r="H913" s="3" t="n">
        <v>7201892.829114086</v>
      </c>
      <c r="I913" s="3" t="n">
        <v>44183.51887564268</v>
      </c>
      <c r="J913" s="4" t="n">
        <v>0.0061349869991161</v>
      </c>
      <c r="K913">
        <f>IF(AND(I913&gt;0,J913&gt;=Assumptions!$B$4),1,0)</f>
        <v/>
      </c>
      <c r="L913" s="3">
        <f>I913*K913</f>
        <v/>
      </c>
      <c r="M913">
        <f>SUM($K$2:K913)</f>
        <v/>
      </c>
    </row>
    <row r="914">
      <c r="A914" t="inlineStr">
        <is>
          <t>180048</t>
        </is>
      </c>
      <c r="B914" t="inlineStr">
        <is>
          <t>Ephraim Mcdowell Regional Medical Center</t>
        </is>
      </c>
      <c r="C914" t="inlineStr">
        <is>
          <t>KY</t>
        </is>
      </c>
      <c r="D914" t="inlineStr">
        <is>
          <t>Micropolitan</t>
        </is>
      </c>
      <c r="E914" s="5" t="n">
        <v>889</v>
      </c>
      <c r="F914" s="4" t="n">
        <v>0.6861642294713161</v>
      </c>
      <c r="G914" s="4" t="n">
        <v>0.6378356530208324</v>
      </c>
      <c r="H914" s="3" t="n">
        <v>13490170.08339124</v>
      </c>
      <c r="I914" s="3" t="n">
        <v>43928.33562576398</v>
      </c>
      <c r="J914" s="4" t="n">
        <v>0.003256321851705</v>
      </c>
      <c r="K914">
        <f>IF(AND(I914&gt;0,J914&gt;=Assumptions!$B$4),1,0)</f>
        <v/>
      </c>
      <c r="L914" s="3">
        <f>I914*K914</f>
        <v/>
      </c>
      <c r="M914">
        <f>SUM($K$2:K914)</f>
        <v/>
      </c>
    </row>
    <row r="915">
      <c r="A915" t="inlineStr">
        <is>
          <t>260023</t>
        </is>
      </c>
      <c r="B915" t="inlineStr">
        <is>
          <t>Mercy Hospital Jefferson</t>
        </is>
      </c>
      <c r="C915" t="inlineStr">
        <is>
          <t>MO</t>
        </is>
      </c>
      <c r="D915" t="inlineStr">
        <is>
          <t>Metropolitan</t>
        </is>
      </c>
      <c r="E915" s="5" t="n">
        <v>1381</v>
      </c>
      <c r="F915" s="4" t="n">
        <v>0.6140477914554671</v>
      </c>
      <c r="G915" s="4" t="n">
        <v>0.6212299989206109</v>
      </c>
      <c r="H915" s="3" t="n">
        <v>18096216.91439606</v>
      </c>
      <c r="I915" s="3" t="n">
        <v>43498.50284129754</v>
      </c>
      <c r="J915" s="4" t="n">
        <v>0.0024037346063581</v>
      </c>
      <c r="K915">
        <f>IF(AND(I915&gt;0,J915&gt;=Assumptions!$B$4),1,0)</f>
        <v/>
      </c>
      <c r="L915" s="3">
        <f>I915*K915</f>
        <v/>
      </c>
      <c r="M915">
        <f>SUM($K$2:K915)</f>
        <v/>
      </c>
    </row>
    <row r="916">
      <c r="A916" t="inlineStr">
        <is>
          <t>050002</t>
        </is>
      </c>
      <c r="B916" t="inlineStr">
        <is>
          <t>St Rose Hospital</t>
        </is>
      </c>
      <c r="C916" t="inlineStr">
        <is>
          <t>CA</t>
        </is>
      </c>
      <c r="D916" t="inlineStr">
        <is>
          <t>Metropolitan</t>
        </is>
      </c>
      <c r="E916" s="5" t="n">
        <v>361</v>
      </c>
      <c r="F916" s="4" t="n">
        <v>0.7091412742382271</v>
      </c>
      <c r="G916" s="4" t="n">
        <v>0.733773307042087</v>
      </c>
      <c r="H916" s="3" t="n">
        <v>4682483.530613048</v>
      </c>
      <c r="I916" s="3" t="n">
        <v>42234.89245070517</v>
      </c>
      <c r="J916" s="4" t="n">
        <v>0.0090197631608488</v>
      </c>
      <c r="K916">
        <f>IF(AND(I916&gt;0,J916&gt;=Assumptions!$B$4),1,0)</f>
        <v/>
      </c>
      <c r="L916" s="3">
        <f>I916*K916</f>
        <v/>
      </c>
      <c r="M916">
        <f>SUM($K$2:K916)</f>
        <v/>
      </c>
    </row>
    <row r="917">
      <c r="A917" t="inlineStr">
        <is>
          <t>140034</t>
        </is>
      </c>
      <c r="B917" t="inlineStr">
        <is>
          <t>Ssm Health St Mary's Hospital -Centralia</t>
        </is>
      </c>
      <c r="C917" t="inlineStr">
        <is>
          <t>IL</t>
        </is>
      </c>
      <c r="D917" t="inlineStr">
        <is>
          <t>Micropolitan</t>
        </is>
      </c>
      <c r="E917" s="5" t="n">
        <v>710</v>
      </c>
      <c r="F917" s="4" t="n">
        <v>0.6464788732394366</v>
      </c>
      <c r="G917" s="4" t="n">
        <v>0.68077892405744</v>
      </c>
      <c r="H917" s="3" t="n">
        <v>8912939.681366459</v>
      </c>
      <c r="I917" s="3" t="n">
        <v>41329.08069191128</v>
      </c>
      <c r="J917" s="4" t="n">
        <v>0.0046369752482802</v>
      </c>
      <c r="K917">
        <f>IF(AND(I917&gt;0,J917&gt;=Assumptions!$B$4),1,0)</f>
        <v/>
      </c>
      <c r="L917" s="3">
        <f>I917*K917</f>
        <v/>
      </c>
      <c r="M917">
        <f>SUM($K$2:K917)</f>
        <v/>
      </c>
    </row>
    <row r="918">
      <c r="A918" t="inlineStr">
        <is>
          <t>360040</t>
        </is>
      </c>
      <c r="B918" t="inlineStr">
        <is>
          <t>Knox Community Hospital</t>
        </is>
      </c>
      <c r="C918" t="inlineStr">
        <is>
          <t>OH</t>
        </is>
      </c>
      <c r="D918" t="inlineStr">
        <is>
          <t>Micropolitan</t>
        </is>
      </c>
      <c r="E918" s="5" t="n">
        <v>389</v>
      </c>
      <c r="F918" s="4" t="n">
        <v>0.6041131105398457</v>
      </c>
      <c r="G918" s="4" t="n">
        <v>0.6135852873542499</v>
      </c>
      <c r="H918" s="3" t="n">
        <v>4485980.229917876</v>
      </c>
      <c r="I918" s="3" t="n">
        <v>38372.62806170899</v>
      </c>
      <c r="J918" s="4" t="n">
        <v>0.008553900395234499</v>
      </c>
      <c r="K918">
        <f>IF(AND(I918&gt;0,J918&gt;=Assumptions!$B$4),1,0)</f>
        <v/>
      </c>
      <c r="L918" s="3">
        <f>I918*K918</f>
        <v/>
      </c>
      <c r="M918">
        <f>SUM($K$2:K918)</f>
        <v/>
      </c>
    </row>
    <row r="919">
      <c r="A919" t="inlineStr">
        <is>
          <t>440031</t>
        </is>
      </c>
      <c r="B919" t="inlineStr">
        <is>
          <t>Roane Medical Center</t>
        </is>
      </c>
      <c r="C919" t="inlineStr">
        <is>
          <t>TN</t>
        </is>
      </c>
      <c r="D919" t="inlineStr">
        <is>
          <t>Metropolitan</t>
        </is>
      </c>
      <c r="E919" s="5" t="n">
        <v>334</v>
      </c>
      <c r="F919" s="4" t="n">
        <v>0.7574850299401198</v>
      </c>
      <c r="G919" s="4" t="n">
        <v>0.7592249156769623</v>
      </c>
      <c r="H919" s="3" t="n">
        <v>4327103.824339405</v>
      </c>
      <c r="I919" s="3" t="n">
        <v>38359.38929477241</v>
      </c>
      <c r="J919" s="4" t="n">
        <v>0.008864910769879299</v>
      </c>
      <c r="K919">
        <f>IF(AND(I919&gt;0,J919&gt;=Assumptions!$B$4),1,0)</f>
        <v/>
      </c>
      <c r="L919" s="3">
        <f>I919*K919</f>
        <v/>
      </c>
      <c r="M919">
        <f>SUM($K$2:K919)</f>
        <v/>
      </c>
    </row>
    <row r="920">
      <c r="A920" t="inlineStr">
        <is>
          <t>340132</t>
        </is>
      </c>
      <c r="B920" t="inlineStr">
        <is>
          <t>Maria Parham Medical Center</t>
        </is>
      </c>
      <c r="C920" t="inlineStr">
        <is>
          <t>NC</t>
        </is>
      </c>
      <c r="D920" t="inlineStr">
        <is>
          <t>Micropolitan</t>
        </is>
      </c>
      <c r="E920" s="5" t="n">
        <v>371</v>
      </c>
      <c r="F920" s="4" t="n">
        <v>0.6657681940700808</v>
      </c>
      <c r="G920" s="4" t="n">
        <v>0.6989629745266531</v>
      </c>
      <c r="H920" s="3" t="n">
        <v>5529792.845272706</v>
      </c>
      <c r="I920" s="3" t="n">
        <v>38278.61329476442</v>
      </c>
      <c r="J920" s="4" t="n">
        <v>0.006922250862885</v>
      </c>
      <c r="K920">
        <f>IF(AND(I920&gt;0,J920&gt;=Assumptions!$B$4),1,0)</f>
        <v/>
      </c>
      <c r="L920" s="3">
        <f>I920*K920</f>
        <v/>
      </c>
      <c r="M920">
        <f>SUM($K$2:K920)</f>
        <v/>
      </c>
    </row>
    <row r="921">
      <c r="A921" t="inlineStr">
        <is>
          <t>380047</t>
        </is>
      </c>
      <c r="B921" t="inlineStr">
        <is>
          <t>St Charles Bend Campus</t>
        </is>
      </c>
      <c r="C921" t="inlineStr">
        <is>
          <t>OR</t>
        </is>
      </c>
      <c r="D921" t="inlineStr">
        <is>
          <t>Metropolitan</t>
        </is>
      </c>
      <c r="E921" s="5" t="n">
        <v>3711</v>
      </c>
      <c r="F921" s="4" t="n">
        <v>0.5513338722716249</v>
      </c>
      <c r="G921" s="4" t="n">
        <v>0.5133931295025629</v>
      </c>
      <c r="H921" s="3" t="n">
        <v>74448811.07180806</v>
      </c>
      <c r="I921" s="3" t="n">
        <v>37140.75894969702</v>
      </c>
      <c r="J921" s="4" t="n">
        <v>0.0004988764550433</v>
      </c>
      <c r="K921">
        <f>IF(AND(I921&gt;0,J921&gt;=Assumptions!$B$4),1,0)</f>
        <v/>
      </c>
      <c r="L921" s="3">
        <f>I921*K921</f>
        <v/>
      </c>
      <c r="M921">
        <f>SUM($K$2:K921)</f>
        <v/>
      </c>
    </row>
    <row r="922">
      <c r="A922" t="inlineStr">
        <is>
          <t>140110</t>
        </is>
      </c>
      <c r="B922" t="inlineStr">
        <is>
          <t>Osf Saint Elizabeth Medical Center</t>
        </is>
      </c>
      <c r="C922" t="inlineStr">
        <is>
          <t>IL</t>
        </is>
      </c>
      <c r="D922" t="inlineStr">
        <is>
          <t>Micropolitan</t>
        </is>
      </c>
      <c r="E922" s="5" t="n">
        <v>607</v>
      </c>
      <c r="F922" s="4" t="n">
        <v>0.7067545304777595</v>
      </c>
      <c r="G922" s="4" t="n">
        <v>0.7135585067145686</v>
      </c>
      <c r="H922" s="3" t="n">
        <v>8199180.861865319</v>
      </c>
      <c r="I922" s="3" t="n">
        <v>36961.60158198141</v>
      </c>
      <c r="J922" s="4" t="n">
        <v>0.0045079627105057</v>
      </c>
      <c r="K922">
        <f>IF(AND(I922&gt;0,J922&gt;=Assumptions!$B$4),1,0)</f>
        <v/>
      </c>
      <c r="L922" s="3">
        <f>I922*K922</f>
        <v/>
      </c>
      <c r="M922">
        <f>SUM($K$2:K922)</f>
        <v/>
      </c>
    </row>
    <row r="923">
      <c r="A923" t="inlineStr">
        <is>
          <t>420070</t>
        </is>
      </c>
      <c r="B923" t="inlineStr">
        <is>
          <t>Prisma Health Tuomey Hospital</t>
        </is>
      </c>
      <c r="C923" t="inlineStr">
        <is>
          <t>SC</t>
        </is>
      </c>
      <c r="D923" t="inlineStr">
        <is>
          <t>Metropolitan</t>
        </is>
      </c>
      <c r="E923" s="5" t="n">
        <v>1294</v>
      </c>
      <c r="F923" s="4" t="n">
        <v>0.6081916537867079</v>
      </c>
      <c r="G923" s="4" t="n">
        <v>0.6279567699478226</v>
      </c>
      <c r="H923" s="3" t="n">
        <v>16263509.28606248</v>
      </c>
      <c r="I923" s="3" t="n">
        <v>36846.31044735387</v>
      </c>
      <c r="J923" s="4" t="n">
        <v>0.0022655817879927</v>
      </c>
      <c r="K923">
        <f>IF(AND(I923&gt;0,J923&gt;=Assumptions!$B$4),1,0)</f>
        <v/>
      </c>
      <c r="L923" s="3">
        <f>I923*K923</f>
        <v/>
      </c>
      <c r="M923">
        <f>SUM($K$2:K923)</f>
        <v/>
      </c>
    </row>
    <row r="924">
      <c r="A924" t="inlineStr">
        <is>
          <t>050597</t>
        </is>
      </c>
      <c r="B924" t="inlineStr">
        <is>
          <t>Emanate Health Foothill Presbyterian Hospital</t>
        </is>
      </c>
      <c r="C924" t="inlineStr">
        <is>
          <t>CA</t>
        </is>
      </c>
      <c r="D924" t="inlineStr">
        <is>
          <t>Metropolitan</t>
        </is>
      </c>
      <c r="E924" s="5" t="n">
        <v>643</v>
      </c>
      <c r="F924" s="4" t="n">
        <v>0.6578538102643857</v>
      </c>
      <c r="G924" s="4" t="n">
        <v>0.6571479171805068</v>
      </c>
      <c r="H924" s="3" t="n">
        <v>8748421.152859205</v>
      </c>
      <c r="I924" s="3" t="n">
        <v>36011.64360855147</v>
      </c>
      <c r="J924" s="4" t="n">
        <v>0.0041163591669088</v>
      </c>
      <c r="K924">
        <f>IF(AND(I924&gt;0,J924&gt;=Assumptions!$B$4),1,0)</f>
        <v/>
      </c>
      <c r="L924" s="3">
        <f>I924*K924</f>
        <v/>
      </c>
      <c r="M924">
        <f>SUM($K$2:K924)</f>
        <v/>
      </c>
    </row>
    <row r="925">
      <c r="A925" t="inlineStr">
        <is>
          <t>190019</t>
        </is>
      </c>
      <c r="B925" t="inlineStr">
        <is>
          <t>Christus St Frances Cabrini Hospital</t>
        </is>
      </c>
      <c r="C925" t="inlineStr">
        <is>
          <t>LA</t>
        </is>
      </c>
      <c r="D925" t="inlineStr">
        <is>
          <t>Metropolitan</t>
        </is>
      </c>
      <c r="E925" s="5" t="n">
        <v>2629</v>
      </c>
      <c r="F925" s="4" t="n">
        <v>0.6116394066184861</v>
      </c>
      <c r="G925" s="4" t="n">
        <v>0.6054306788747534</v>
      </c>
      <c r="H925" s="3" t="n">
        <v>37750784.77641434</v>
      </c>
      <c r="I925" s="3" t="n">
        <v>35712.36792888492</v>
      </c>
      <c r="J925" s="4" t="n">
        <v>0.0009460033252394</v>
      </c>
      <c r="K925">
        <f>IF(AND(I925&gt;0,J925&gt;=Assumptions!$B$4),1,0)</f>
        <v/>
      </c>
      <c r="L925" s="3">
        <f>I925*K925</f>
        <v/>
      </c>
      <c r="M925">
        <f>SUM($K$2:K925)</f>
        <v/>
      </c>
    </row>
    <row r="926">
      <c r="A926" t="inlineStr">
        <is>
          <t>110046</t>
        </is>
      </c>
      <c r="B926" t="inlineStr">
        <is>
          <t>Piedmont Walton Hospital, Inc</t>
        </is>
      </c>
      <c r="C926" t="inlineStr">
        <is>
          <t>GA</t>
        </is>
      </c>
      <c r="D926" t="inlineStr">
        <is>
          <t>Micropolitan</t>
        </is>
      </c>
      <c r="E926" s="5" t="n">
        <v>484</v>
      </c>
      <c r="F926" s="4" t="n">
        <v>0.6880165289256198</v>
      </c>
      <c r="G926" s="4" t="n">
        <v>0.7071960490885839</v>
      </c>
      <c r="H926" s="3" t="n">
        <v>6518750.445131523</v>
      </c>
      <c r="I926" s="3" t="n">
        <v>34862.98952612653</v>
      </c>
      <c r="J926" s="4" t="n">
        <v>0.0053481092457165</v>
      </c>
      <c r="K926">
        <f>IF(AND(I926&gt;0,J926&gt;=Assumptions!$B$4),1,0)</f>
        <v/>
      </c>
      <c r="L926" s="3">
        <f>I926*K926</f>
        <v/>
      </c>
      <c r="M926">
        <f>SUM($K$2:K926)</f>
        <v/>
      </c>
    </row>
    <row r="927">
      <c r="A927" t="inlineStr">
        <is>
          <t>220080</t>
        </is>
      </c>
      <c r="B927" t="inlineStr">
        <is>
          <t>Holy Family Hospital</t>
        </is>
      </c>
      <c r="C927" t="inlineStr">
        <is>
          <t>MA</t>
        </is>
      </c>
      <c r="D927" t="inlineStr">
        <is>
          <t>Metropolitan</t>
        </is>
      </c>
      <c r="E927" s="5" t="n">
        <v>1989</v>
      </c>
      <c r="F927" s="4" t="n">
        <v>0.6184012066365008</v>
      </c>
      <c r="G927" s="4" t="n">
        <v>0.584119815372211</v>
      </c>
      <c r="H927" s="3" t="n">
        <v>25968318.17417143</v>
      </c>
      <c r="I927" s="3" t="n">
        <v>34808.78464411572</v>
      </c>
      <c r="J927" s="4" t="n">
        <v>0.0013404327692941</v>
      </c>
      <c r="K927">
        <f>IF(AND(I927&gt;0,J927&gt;=Assumptions!$B$4),1,0)</f>
        <v/>
      </c>
      <c r="L927" s="3">
        <f>I927*K927</f>
        <v/>
      </c>
      <c r="M927">
        <f>SUM($K$2:K927)</f>
        <v/>
      </c>
    </row>
    <row r="928">
      <c r="A928" t="inlineStr">
        <is>
          <t>150011</t>
        </is>
      </c>
      <c r="B928" t="inlineStr">
        <is>
          <t>Marion General Hospital</t>
        </is>
      </c>
      <c r="C928" t="inlineStr">
        <is>
          <t>IN</t>
        </is>
      </c>
      <c r="D928" t="inlineStr">
        <is>
          <t>Micropolitan</t>
        </is>
      </c>
      <c r="E928" s="5" t="n">
        <v>580</v>
      </c>
      <c r="F928" s="4" t="n">
        <v>0.653448275862069</v>
      </c>
      <c r="G928" s="4" t="n">
        <v>0.6630893027854539</v>
      </c>
      <c r="H928" s="3" t="n">
        <v>6918669.114225943</v>
      </c>
      <c r="I928" s="3" t="n">
        <v>34538.91669893544</v>
      </c>
      <c r="J928" s="4" t="n">
        <v>0.0049921330430324</v>
      </c>
      <c r="K928">
        <f>IF(AND(I928&gt;0,J928&gt;=Assumptions!$B$4),1,0)</f>
        <v/>
      </c>
      <c r="L928" s="3">
        <f>I928*K928</f>
        <v/>
      </c>
      <c r="M928">
        <f>SUM($K$2:K928)</f>
        <v/>
      </c>
    </row>
    <row r="929">
      <c r="A929" t="inlineStr">
        <is>
          <t>200019</t>
        </is>
      </c>
      <c r="B929" t="inlineStr">
        <is>
          <t>Southern Maine Health Care</t>
        </is>
      </c>
      <c r="C929" t="inlineStr">
        <is>
          <t>ME</t>
        </is>
      </c>
      <c r="D929" t="inlineStr">
        <is>
          <t>Metropolitan</t>
        </is>
      </c>
      <c r="E929" s="5" t="n">
        <v>1071</v>
      </c>
      <c r="F929" s="4" t="n">
        <v>0.6143790849673203</v>
      </c>
      <c r="G929" s="4" t="n">
        <v>0.6268530347508893</v>
      </c>
      <c r="H929" s="3" t="n">
        <v>14295695.15420365</v>
      </c>
      <c r="I929" s="3" t="n">
        <v>34272.02168811671</v>
      </c>
      <c r="J929" s="4" t="n">
        <v>0.0023973665721347</v>
      </c>
      <c r="K929">
        <f>IF(AND(I929&gt;0,J929&gt;=Assumptions!$B$4),1,0)</f>
        <v/>
      </c>
      <c r="L929" s="3">
        <f>I929*K929</f>
        <v/>
      </c>
      <c r="M929">
        <f>SUM($K$2:K929)</f>
        <v/>
      </c>
    </row>
    <row r="930">
      <c r="A930" t="inlineStr">
        <is>
          <t>110122</t>
        </is>
      </c>
      <c r="B930" t="inlineStr">
        <is>
          <t>Sgmc Health</t>
        </is>
      </c>
      <c r="C930" t="inlineStr">
        <is>
          <t>GA</t>
        </is>
      </c>
      <c r="D930" t="inlineStr">
        <is>
          <t>Metropolitan</t>
        </is>
      </c>
      <c r="E930" s="5" t="n">
        <v>2115</v>
      </c>
      <c r="F930" s="4" t="n">
        <v>0.6113475177304964</v>
      </c>
      <c r="G930" s="4" t="n">
        <v>0.6126731298320798</v>
      </c>
      <c r="H930" s="3" t="n">
        <v>30460362.31663801</v>
      </c>
      <c r="I930" s="3" t="n">
        <v>34130.73898660019</v>
      </c>
      <c r="J930" s="4" t="n">
        <v>0.0011204968158884</v>
      </c>
      <c r="K930">
        <f>IF(AND(I930&gt;0,J930&gt;=Assumptions!$B$4),1,0)</f>
        <v/>
      </c>
      <c r="L930" s="3">
        <f>I930*K930</f>
        <v/>
      </c>
      <c r="M930">
        <f>SUM($K$2:K930)</f>
        <v/>
      </c>
    </row>
    <row r="931">
      <c r="A931" t="inlineStr">
        <is>
          <t>070007</t>
        </is>
      </c>
      <c r="B931" t="inlineStr">
        <is>
          <t>Lawrence &amp; Memorial Hospital</t>
        </is>
      </c>
      <c r="C931" t="inlineStr">
        <is>
          <t>CT</t>
        </is>
      </c>
      <c r="D931" t="inlineStr">
        <is>
          <t>Metropolitan</t>
        </is>
      </c>
      <c r="E931" s="5" t="n">
        <v>1763</v>
      </c>
      <c r="F931" s="4" t="n">
        <v>0.6233692569483834</v>
      </c>
      <c r="G931" s="4" t="n">
        <v>0.6214369314579791</v>
      </c>
      <c r="H931" s="3" t="n">
        <v>23560204.99231675</v>
      </c>
      <c r="I931" s="3" t="n">
        <v>33699.94546856731</v>
      </c>
      <c r="J931" s="4" t="n">
        <v>0.0014303757322806</v>
      </c>
      <c r="K931">
        <f>IF(AND(I931&gt;0,J931&gt;=Assumptions!$B$4),1,0)</f>
        <v/>
      </c>
      <c r="L931" s="3">
        <f>I931*K931</f>
        <v/>
      </c>
      <c r="M931">
        <f>SUM($K$2:K931)</f>
        <v/>
      </c>
    </row>
    <row r="932">
      <c r="A932" t="inlineStr">
        <is>
          <t>520051</t>
        </is>
      </c>
      <c r="B932" t="inlineStr">
        <is>
          <t>Ascension Columbia St Mary's Hospital Milwaukee Ca</t>
        </is>
      </c>
      <c r="C932" t="inlineStr">
        <is>
          <t>WI</t>
        </is>
      </c>
      <c r="D932" t="inlineStr">
        <is>
          <t>Metropolitan</t>
        </is>
      </c>
      <c r="E932" s="5" t="n">
        <v>1243</v>
      </c>
      <c r="F932" s="4" t="n">
        <v>0.5599356395816573</v>
      </c>
      <c r="G932" s="4" t="n">
        <v>0.5718164487915564</v>
      </c>
      <c r="H932" s="3" t="n">
        <v>20086457.58194543</v>
      </c>
      <c r="I932" s="3" t="n">
        <v>32498.86849200726</v>
      </c>
      <c r="J932" s="4" t="n">
        <v>0.001617949225712</v>
      </c>
      <c r="K932">
        <f>IF(AND(I932&gt;0,J932&gt;=Assumptions!$B$4),1,0)</f>
        <v/>
      </c>
      <c r="L932" s="3">
        <f>I932*K932</f>
        <v/>
      </c>
      <c r="M932">
        <f>SUM($K$2:K932)</f>
        <v/>
      </c>
    </row>
    <row r="933">
      <c r="A933" t="inlineStr">
        <is>
          <t>490066</t>
        </is>
      </c>
      <c r="B933" t="inlineStr">
        <is>
          <t>Sentara Williamsburg Regional Medical Center</t>
        </is>
      </c>
      <c r="C933" t="inlineStr">
        <is>
          <t>VA</t>
        </is>
      </c>
      <c r="D933" t="inlineStr">
        <is>
          <t>Metropolitan</t>
        </is>
      </c>
      <c r="E933" s="5" t="n">
        <v>1677</v>
      </c>
      <c r="F933" s="4" t="n">
        <v>0.6851520572450805</v>
      </c>
      <c r="G933" s="4" t="n">
        <v>0.6540181198453433</v>
      </c>
      <c r="H933" s="3" t="n">
        <v>24668348.41196917</v>
      </c>
      <c r="I933" s="3" t="n">
        <v>32165.36562138424</v>
      </c>
      <c r="J933" s="4" t="n">
        <v>0.0013039124097086</v>
      </c>
      <c r="K933">
        <f>IF(AND(I933&gt;0,J933&gt;=Assumptions!$B$4),1,0)</f>
        <v/>
      </c>
      <c r="L933" s="3">
        <f>I933*K933</f>
        <v/>
      </c>
      <c r="M933">
        <f>SUM($K$2:K933)</f>
        <v/>
      </c>
    </row>
    <row r="934">
      <c r="A934" t="inlineStr">
        <is>
          <t>190202</t>
        </is>
      </c>
      <c r="B934" t="inlineStr">
        <is>
          <t>Ochsner Medical Center - Baton Rouge</t>
        </is>
      </c>
      <c r="C934" t="inlineStr">
        <is>
          <t>LA</t>
        </is>
      </c>
      <c r="D934" t="inlineStr">
        <is>
          <t>Metropolitan</t>
        </is>
      </c>
      <c r="E934" s="5" t="n">
        <v>558</v>
      </c>
      <c r="F934" s="4" t="n">
        <v>0.6827956989247311</v>
      </c>
      <c r="G934" s="4" t="n">
        <v>0.6715997555823616</v>
      </c>
      <c r="H934" s="3" t="n">
        <v>6927507.964383706</v>
      </c>
      <c r="I934" s="3" t="n">
        <v>30797.32252002694</v>
      </c>
      <c r="J934" s="4" t="n">
        <v>0.00444565674675</v>
      </c>
      <c r="K934">
        <f>IF(AND(I934&gt;0,J934&gt;=Assumptions!$B$4),1,0)</f>
        <v/>
      </c>
      <c r="L934" s="3">
        <f>I934*K934</f>
        <v/>
      </c>
      <c r="M934">
        <f>SUM($K$2:K934)</f>
        <v/>
      </c>
    </row>
    <row r="935">
      <c r="A935" t="inlineStr">
        <is>
          <t>100329</t>
        </is>
      </c>
      <c r="B935" t="inlineStr">
        <is>
          <t>Oviedo Medical Center</t>
        </is>
      </c>
      <c r="C935" t="inlineStr">
        <is>
          <t>FL</t>
        </is>
      </c>
      <c r="D935" t="inlineStr">
        <is>
          <t>Metropolitan</t>
        </is>
      </c>
      <c r="E935" s="5" t="n">
        <v>305</v>
      </c>
      <c r="F935" s="4" t="n">
        <v>0.659016393442623</v>
      </c>
      <c r="G935" s="4" t="n">
        <v>0.6932289967583295</v>
      </c>
      <c r="H935" s="3" t="n">
        <v>3756441.266318521</v>
      </c>
      <c r="I935" s="3" t="n">
        <v>30459.28222331172</v>
      </c>
      <c r="J935" s="4" t="n">
        <v>0.0081085474426073</v>
      </c>
      <c r="K935">
        <f>IF(AND(I935&gt;0,J935&gt;=Assumptions!$B$4),1,0)</f>
        <v/>
      </c>
      <c r="L935" s="3">
        <f>I935*K935</f>
        <v/>
      </c>
      <c r="M935">
        <f>SUM($K$2:K935)</f>
        <v/>
      </c>
    </row>
    <row r="936">
      <c r="A936" t="inlineStr">
        <is>
          <t>050367</t>
        </is>
      </c>
      <c r="B936" t="inlineStr">
        <is>
          <t>Northbay Medical Center</t>
        </is>
      </c>
      <c r="C936" t="inlineStr">
        <is>
          <t>CA</t>
        </is>
      </c>
      <c r="D936" t="inlineStr">
        <is>
          <t>Metropolitan</t>
        </is>
      </c>
      <c r="E936" s="5" t="n">
        <v>2109</v>
      </c>
      <c r="F936" s="4" t="n">
        <v>0.6311047889995258</v>
      </c>
      <c r="G936" s="4" t="n">
        <v>0.6432145169538158</v>
      </c>
      <c r="H936" s="3" t="n">
        <v>31746288.75632484</v>
      </c>
      <c r="I936" s="3" t="n">
        <v>30330.06079259888</v>
      </c>
      <c r="J936" s="4" t="n">
        <v>0.0009553891803039</v>
      </c>
      <c r="K936">
        <f>IF(AND(I936&gt;0,J936&gt;=Assumptions!$B$4),1,0)</f>
        <v/>
      </c>
      <c r="L936" s="3">
        <f>I936*K936</f>
        <v/>
      </c>
      <c r="M936">
        <f>SUM($K$2:K936)</f>
        <v/>
      </c>
    </row>
    <row r="937">
      <c r="A937" t="inlineStr">
        <is>
          <t>450072</t>
        </is>
      </c>
      <c r="B937" t="inlineStr">
        <is>
          <t>Chi St Luke's Health Brazosport</t>
        </is>
      </c>
      <c r="C937" t="inlineStr">
        <is>
          <t>TX</t>
        </is>
      </c>
      <c r="D937" t="inlineStr">
        <is>
          <t>Metropolitan</t>
        </is>
      </c>
      <c r="E937" s="5" t="n">
        <v>431</v>
      </c>
      <c r="F937" s="4" t="n">
        <v>0.703016241299304</v>
      </c>
      <c r="G937" s="4" t="n">
        <v>0.7102963975757376</v>
      </c>
      <c r="H937" s="3" t="n">
        <v>5663873.942212148</v>
      </c>
      <c r="I937" s="3" t="n">
        <v>30310.47023256682</v>
      </c>
      <c r="J937" s="4" t="n">
        <v>0.0053515439329725</v>
      </c>
      <c r="K937">
        <f>IF(AND(I937&gt;0,J937&gt;=Assumptions!$B$4),1,0)</f>
        <v/>
      </c>
      <c r="L937" s="3">
        <f>I937*K937</f>
        <v/>
      </c>
      <c r="M937">
        <f>SUM($K$2:K937)</f>
        <v/>
      </c>
    </row>
    <row r="938">
      <c r="A938" t="inlineStr">
        <is>
          <t>040154</t>
        </is>
      </c>
      <c r="B938" t="inlineStr">
        <is>
          <t>Baptist Health Medical Center- Conway</t>
        </is>
      </c>
      <c r="C938" t="inlineStr">
        <is>
          <t>AR</t>
        </is>
      </c>
      <c r="D938" t="inlineStr">
        <is>
          <t>Metropolitan</t>
        </is>
      </c>
      <c r="E938" s="5" t="n">
        <v>659</v>
      </c>
      <c r="F938" s="4" t="n">
        <v>0.7192716236722306</v>
      </c>
      <c r="G938" s="4" t="n">
        <v>0.7060234713450328</v>
      </c>
      <c r="H938" s="3" t="n">
        <v>8668424.560245711</v>
      </c>
      <c r="I938" s="3" t="n">
        <v>30075.48698812164</v>
      </c>
      <c r="J938" s="4" t="n">
        <v>0.0034695447574235</v>
      </c>
      <c r="K938">
        <f>IF(AND(I938&gt;0,J938&gt;=Assumptions!$B$4),1,0)</f>
        <v/>
      </c>
      <c r="L938" s="3">
        <f>I938*K938</f>
        <v/>
      </c>
      <c r="M938">
        <f>SUM($K$2:K938)</f>
        <v/>
      </c>
    </row>
    <row r="939">
      <c r="A939" t="inlineStr">
        <is>
          <t>060132</t>
        </is>
      </c>
      <c r="B939" t="inlineStr">
        <is>
          <t>Uchealth Highlands Ranch Hospital</t>
        </is>
      </c>
      <c r="C939" t="inlineStr">
        <is>
          <t>CO</t>
        </is>
      </c>
      <c r="D939" t="inlineStr">
        <is>
          <t>Metropolitan</t>
        </is>
      </c>
      <c r="E939" s="5" t="n">
        <v>711</v>
      </c>
      <c r="F939" s="4" t="n">
        <v>0.630098452883263</v>
      </c>
      <c r="G939" s="4" t="n">
        <v>0.6430150825887161</v>
      </c>
      <c r="H939" s="3" t="n">
        <v>8960748.825760508</v>
      </c>
      <c r="I939" s="3" t="n">
        <v>29506.78379373066</v>
      </c>
      <c r="J939" s="4" t="n">
        <v>0.003292892632913</v>
      </c>
      <c r="K939">
        <f>IF(AND(I939&gt;0,J939&gt;=Assumptions!$B$4),1,0)</f>
        <v/>
      </c>
      <c r="L939" s="3">
        <f>I939*K939</f>
        <v/>
      </c>
      <c r="M939">
        <f>SUM($K$2:K939)</f>
        <v/>
      </c>
    </row>
    <row r="940">
      <c r="A940" t="inlineStr">
        <is>
          <t>150024</t>
        </is>
      </c>
      <c r="B940" t="inlineStr">
        <is>
          <t>Eskenazi Health</t>
        </is>
      </c>
      <c r="C940" t="inlineStr">
        <is>
          <t>IN</t>
        </is>
      </c>
      <c r="D940" t="inlineStr">
        <is>
          <t>Metropolitan</t>
        </is>
      </c>
      <c r="E940" s="5" t="n">
        <v>471</v>
      </c>
      <c r="F940" s="4" t="n">
        <v>0.6518046709129511</v>
      </c>
      <c r="G940" s="4" t="n">
        <v>0.6845962782859599</v>
      </c>
      <c r="H940" s="3" t="n">
        <v>6522642.197760488</v>
      </c>
      <c r="I940" s="3" t="n">
        <v>28688.37843631115</v>
      </c>
      <c r="J940" s="4" t="n">
        <v>0.0043982756629148</v>
      </c>
      <c r="K940">
        <f>IF(AND(I940&gt;0,J940&gt;=Assumptions!$B$4),1,0)</f>
        <v/>
      </c>
      <c r="L940" s="3">
        <f>I940*K940</f>
        <v/>
      </c>
      <c r="M940">
        <f>SUM($K$2:K940)</f>
        <v/>
      </c>
    </row>
    <row r="941">
      <c r="A941" t="inlineStr">
        <is>
          <t>060128</t>
        </is>
      </c>
      <c r="B941" t="inlineStr">
        <is>
          <t>Longs Peak Hospital</t>
        </is>
      </c>
      <c r="C941" t="inlineStr">
        <is>
          <t>CO</t>
        </is>
      </c>
      <c r="D941" t="inlineStr">
        <is>
          <t>Metropolitan</t>
        </is>
      </c>
      <c r="E941" s="5" t="n">
        <v>520</v>
      </c>
      <c r="F941" s="4" t="n">
        <v>0.5961538461538461</v>
      </c>
      <c r="G941" s="4" t="n">
        <v>0.6224306892675823</v>
      </c>
      <c r="H941" s="3" t="n">
        <v>7102143.716667005</v>
      </c>
      <c r="I941" s="3" t="n">
        <v>28404.93501054402</v>
      </c>
      <c r="J941" s="4" t="n">
        <v>0.0039994874989483</v>
      </c>
      <c r="K941">
        <f>IF(AND(I941&gt;0,J941&gt;=Assumptions!$B$4),1,0)</f>
        <v/>
      </c>
      <c r="L941" s="3">
        <f>I941*K941</f>
        <v/>
      </c>
      <c r="M941">
        <f>SUM($K$2:K941)</f>
        <v/>
      </c>
    </row>
    <row r="942">
      <c r="A942" t="inlineStr">
        <is>
          <t>330164</t>
        </is>
      </c>
      <c r="B942" t="inlineStr">
        <is>
          <t>Highland Hospital</t>
        </is>
      </c>
      <c r="C942" t="inlineStr">
        <is>
          <t>NY</t>
        </is>
      </c>
      <c r="D942" t="inlineStr">
        <is>
          <t>Metropolitan</t>
        </is>
      </c>
      <c r="E942" s="5" t="n">
        <v>1599</v>
      </c>
      <c r="F942" s="4" t="n">
        <v>0.549718574108818</v>
      </c>
      <c r="G942" s="4" t="n">
        <v>0.5661753102557994</v>
      </c>
      <c r="H942" s="3" t="n">
        <v>21341731.48511658</v>
      </c>
      <c r="I942" s="3" t="n">
        <v>27891.40961234644</v>
      </c>
      <c r="J942" s="4" t="n">
        <v>0.0013068953487582</v>
      </c>
      <c r="K942">
        <f>IF(AND(I942&gt;0,J942&gt;=Assumptions!$B$4),1,0)</f>
        <v/>
      </c>
      <c r="L942" s="3">
        <f>I942*K942</f>
        <v/>
      </c>
      <c r="M942">
        <f>SUM($K$2:K942)</f>
        <v/>
      </c>
    </row>
    <row r="943">
      <c r="A943" t="inlineStr">
        <is>
          <t>050336</t>
        </is>
      </c>
      <c r="B943" t="inlineStr">
        <is>
          <t>Adventist Health Lodi Memorial</t>
        </is>
      </c>
      <c r="C943" t="inlineStr">
        <is>
          <t>CA</t>
        </is>
      </c>
      <c r="D943" t="inlineStr">
        <is>
          <t>Metropolitan</t>
        </is>
      </c>
      <c r="E943" s="5" t="n">
        <v>1536</v>
      </c>
      <c r="F943" s="4" t="n">
        <v>0.71484375</v>
      </c>
      <c r="G943" s="4" t="n">
        <v>0.6934188943653307</v>
      </c>
      <c r="H943" s="3" t="n">
        <v>21959451.17838196</v>
      </c>
      <c r="I943" s="3" t="n">
        <v>26240.57335330918</v>
      </c>
      <c r="J943" s="4" t="n">
        <v>0.0011949557910236</v>
      </c>
      <c r="K943">
        <f>IF(AND(I943&gt;0,J943&gt;=Assumptions!$B$4),1,0)</f>
        <v/>
      </c>
      <c r="L943" s="3">
        <f>I943*K943</f>
        <v/>
      </c>
      <c r="M943">
        <f>SUM($K$2:K943)</f>
        <v/>
      </c>
    </row>
    <row r="944">
      <c r="A944" t="inlineStr">
        <is>
          <t>450222</t>
        </is>
      </c>
      <c r="B944" t="inlineStr">
        <is>
          <t>Hca Houston Healthcare Conroe</t>
        </is>
      </c>
      <c r="C944" t="inlineStr">
        <is>
          <t>TX</t>
        </is>
      </c>
      <c r="D944" t="inlineStr">
        <is>
          <t>Metropolitan</t>
        </is>
      </c>
      <c r="E944" s="5" t="n">
        <v>1087</v>
      </c>
      <c r="F944" s="4" t="n">
        <v>0.6228150873965042</v>
      </c>
      <c r="G944" s="4" t="n">
        <v>0.616519141628648</v>
      </c>
      <c r="H944" s="3" t="n">
        <v>15325176.785314</v>
      </c>
      <c r="I944" s="3" t="n">
        <v>26165.0283556655</v>
      </c>
      <c r="J944" s="4" t="n">
        <v>0.0017073231012081</v>
      </c>
      <c r="K944">
        <f>IF(AND(I944&gt;0,J944&gt;=Assumptions!$B$4),1,0)</f>
        <v/>
      </c>
      <c r="L944" s="3">
        <f>I944*K944</f>
        <v/>
      </c>
      <c r="M944">
        <f>SUM($K$2:K944)</f>
        <v/>
      </c>
    </row>
    <row r="945">
      <c r="A945" t="inlineStr">
        <is>
          <t>030023</t>
        </is>
      </c>
      <c r="B945" t="inlineStr">
        <is>
          <t>Flagstaff Medical Center</t>
        </is>
      </c>
      <c r="C945" t="inlineStr">
        <is>
          <t>AZ</t>
        </is>
      </c>
      <c r="D945" t="inlineStr">
        <is>
          <t>Metropolitan</t>
        </is>
      </c>
      <c r="E945" s="5" t="n">
        <v>1804</v>
      </c>
      <c r="F945" s="4" t="n">
        <v>0.5144124168514412</v>
      </c>
      <c r="G945" s="4" t="n">
        <v>0.491490177889713</v>
      </c>
      <c r="H945" s="3" t="n">
        <v>33235171.41047449</v>
      </c>
      <c r="I945" s="3" t="n">
        <v>26124.52646612376</v>
      </c>
      <c r="J945" s="4" t="n">
        <v>0.0007860506011378</v>
      </c>
      <c r="K945">
        <f>IF(AND(I945&gt;0,J945&gt;=Assumptions!$B$4),1,0)</f>
        <v/>
      </c>
      <c r="L945" s="3">
        <f>I945*K945</f>
        <v/>
      </c>
      <c r="M945">
        <f>SUM($K$2:K945)</f>
        <v/>
      </c>
    </row>
    <row r="946">
      <c r="A946" t="inlineStr">
        <is>
          <t>330135</t>
        </is>
      </c>
      <c r="B946" t="inlineStr">
        <is>
          <t>Bon Secours Community Hospital</t>
        </is>
      </c>
      <c r="C946" t="inlineStr">
        <is>
          <t>NY</t>
        </is>
      </c>
      <c r="D946" t="inlineStr">
        <is>
          <t>Micropolitan</t>
        </is>
      </c>
      <c r="E946" s="5" t="n">
        <v>409</v>
      </c>
      <c r="F946" s="4" t="n">
        <v>0.7114914425427873</v>
      </c>
      <c r="G946" s="4" t="n">
        <v>0.7001112970998529</v>
      </c>
      <c r="H946" s="3" t="n">
        <v>4952128.502741995</v>
      </c>
      <c r="I946" s="3" t="n">
        <v>26099.80314840749</v>
      </c>
      <c r="J946" s="4" t="n">
        <v>0.0052704212206844</v>
      </c>
      <c r="K946">
        <f>IF(AND(I946&gt;0,J946&gt;=Assumptions!$B$4),1,0)</f>
        <v/>
      </c>
      <c r="L946" s="3">
        <f>I946*K946</f>
        <v/>
      </c>
      <c r="M946">
        <f>SUM($K$2:K946)</f>
        <v/>
      </c>
    </row>
    <row r="947">
      <c r="A947" t="inlineStr">
        <is>
          <t>180124</t>
        </is>
      </c>
      <c r="B947" t="inlineStr">
        <is>
          <t>Tristar Greenview Regional Hospital</t>
        </is>
      </c>
      <c r="C947" t="inlineStr">
        <is>
          <t>KY</t>
        </is>
      </c>
      <c r="D947" t="inlineStr">
        <is>
          <t>Metropolitan</t>
        </is>
      </c>
      <c r="E947" s="5" t="n">
        <v>876</v>
      </c>
      <c r="F947" s="4" t="n">
        <v>0.6084474885844748</v>
      </c>
      <c r="G947" s="4" t="n">
        <v>0.598244216860338</v>
      </c>
      <c r="H947" s="3" t="n">
        <v>12318351.38839622</v>
      </c>
      <c r="I947" s="3" t="n">
        <v>24925.57254325226</v>
      </c>
      <c r="J947" s="4" t="n">
        <v>0.0020234503593339</v>
      </c>
      <c r="K947">
        <f>IF(AND(I947&gt;0,J947&gt;=Assumptions!$B$4),1,0)</f>
        <v/>
      </c>
      <c r="L947" s="3">
        <f>I947*K947</f>
        <v/>
      </c>
      <c r="M947">
        <f>SUM($K$2:K947)</f>
        <v/>
      </c>
    </row>
    <row r="948">
      <c r="A948" t="inlineStr">
        <is>
          <t>140013</t>
        </is>
      </c>
      <c r="B948" t="inlineStr">
        <is>
          <t>Carle Health Proctor Hospital</t>
        </is>
      </c>
      <c r="C948" t="inlineStr">
        <is>
          <t>IL</t>
        </is>
      </c>
      <c r="D948" t="inlineStr">
        <is>
          <t>Metropolitan</t>
        </is>
      </c>
      <c r="E948" s="5" t="n">
        <v>526</v>
      </c>
      <c r="F948" s="4" t="n">
        <v>0.6501901140684411</v>
      </c>
      <c r="G948" s="4" t="n">
        <v>0.6432575976385586</v>
      </c>
      <c r="H948" s="3" t="n">
        <v>7656024.620559948</v>
      </c>
      <c r="I948" s="3" t="n">
        <v>24359.35797238629</v>
      </c>
      <c r="J948" s="4" t="n">
        <v>0.0031817240904594</v>
      </c>
      <c r="K948">
        <f>IF(AND(I948&gt;0,J948&gt;=Assumptions!$B$4),1,0)</f>
        <v/>
      </c>
      <c r="L948" s="3">
        <f>I948*K948</f>
        <v/>
      </c>
      <c r="M948">
        <f>SUM($K$2:K948)</f>
        <v/>
      </c>
    </row>
    <row r="949">
      <c r="A949" t="inlineStr">
        <is>
          <t>450002</t>
        </is>
      </c>
      <c r="B949" t="inlineStr">
        <is>
          <t>The Hospitals Of Providence Memorial Campus</t>
        </is>
      </c>
      <c r="C949" t="inlineStr">
        <is>
          <t>TX</t>
        </is>
      </c>
      <c r="D949" t="inlineStr">
        <is>
          <t>Metropolitan</t>
        </is>
      </c>
      <c r="E949" s="5" t="n">
        <v>333</v>
      </c>
      <c r="F949" s="4" t="n">
        <v>0.6576576576576577</v>
      </c>
      <c r="G949" s="4" t="n">
        <v>0.6840942963825399</v>
      </c>
      <c r="H949" s="3" t="n">
        <v>5489706.912959997</v>
      </c>
      <c r="I949" s="3" t="n">
        <v>22276.23188298289</v>
      </c>
      <c r="J949" s="4" t="n">
        <v>0.0040578180650033</v>
      </c>
      <c r="K949">
        <f>IF(AND(I949&gt;0,J949&gt;=Assumptions!$B$4),1,0)</f>
        <v/>
      </c>
      <c r="L949" s="3">
        <f>I949*K949</f>
        <v/>
      </c>
      <c r="M949">
        <f>SUM($K$2:K949)</f>
        <v/>
      </c>
    </row>
    <row r="950">
      <c r="A950" t="inlineStr">
        <is>
          <t>180038</t>
        </is>
      </c>
      <c r="B950" t="inlineStr">
        <is>
          <t>Owensboro Health Regional Hospital</t>
        </is>
      </c>
      <c r="C950" t="inlineStr">
        <is>
          <t>KY</t>
        </is>
      </c>
      <c r="D950" t="inlineStr">
        <is>
          <t>Metropolitan</t>
        </is>
      </c>
      <c r="E950" s="5" t="n">
        <v>2377</v>
      </c>
      <c r="F950" s="4" t="n">
        <v>0.5671013883045856</v>
      </c>
      <c r="G950" s="4" t="n">
        <v>0.5781811181292192</v>
      </c>
      <c r="H950" s="3" t="n">
        <v>36079556.09840407</v>
      </c>
      <c r="I950" s="3" t="n">
        <v>21977.48968964815</v>
      </c>
      <c r="J950" s="4" t="n">
        <v>0.0006091396920102</v>
      </c>
      <c r="K950">
        <f>IF(AND(I950&gt;0,J950&gt;=Assumptions!$B$4),1,0)</f>
        <v/>
      </c>
      <c r="L950" s="3">
        <f>I950*K950</f>
        <v/>
      </c>
      <c r="M950">
        <f>SUM($K$2:K950)</f>
        <v/>
      </c>
    </row>
    <row r="951">
      <c r="A951" t="inlineStr">
        <is>
          <t>450885</t>
        </is>
      </c>
      <c r="B951" t="inlineStr">
        <is>
          <t>Baylor Scott &amp;  White Medical Center - Centennial</t>
        </is>
      </c>
      <c r="C951" t="inlineStr">
        <is>
          <t>TX</t>
        </is>
      </c>
      <c r="D951" t="inlineStr">
        <is>
          <t>Metropolitan</t>
        </is>
      </c>
      <c r="E951" s="5" t="n">
        <v>496</v>
      </c>
      <c r="F951" s="4" t="n">
        <v>0.6653225806451613</v>
      </c>
      <c r="G951" s="4" t="n">
        <v>0.6776980575078556</v>
      </c>
      <c r="H951" s="3" t="n">
        <v>6268334.177610596</v>
      </c>
      <c r="I951" s="3" t="n">
        <v>20775.72728432901</v>
      </c>
      <c r="J951" s="4" t="n">
        <v>0.0033143936962608</v>
      </c>
      <c r="K951">
        <f>IF(AND(I951&gt;0,J951&gt;=Assumptions!$B$4),1,0)</f>
        <v/>
      </c>
      <c r="L951" s="3">
        <f>I951*K951</f>
        <v/>
      </c>
      <c r="M951">
        <f>SUM($K$2:K951)</f>
        <v/>
      </c>
    </row>
    <row r="952">
      <c r="A952" t="inlineStr">
        <is>
          <t>380021</t>
        </is>
      </c>
      <c r="B952" t="inlineStr">
        <is>
          <t>Hillsboro Medical Center</t>
        </is>
      </c>
      <c r="C952" t="inlineStr">
        <is>
          <t>OR</t>
        </is>
      </c>
      <c r="D952" t="inlineStr">
        <is>
          <t>Metropolitan</t>
        </is>
      </c>
      <c r="E952" s="5" t="n">
        <v>321</v>
      </c>
      <c r="F952" s="4" t="n">
        <v>0.7227414330218068</v>
      </c>
      <c r="G952" s="4" t="n">
        <v>0.7237434591598615</v>
      </c>
      <c r="H952" s="3" t="n">
        <v>4306266.070818176</v>
      </c>
      <c r="I952" s="3" t="n">
        <v>20771.85620906484</v>
      </c>
      <c r="J952" s="4" t="n">
        <v>0.0048236351092718</v>
      </c>
      <c r="K952">
        <f>IF(AND(I952&gt;0,J952&gt;=Assumptions!$B$4),1,0)</f>
        <v/>
      </c>
      <c r="L952" s="3">
        <f>I952*K952</f>
        <v/>
      </c>
      <c r="M952">
        <f>SUM($K$2:K952)</f>
        <v/>
      </c>
    </row>
    <row r="953">
      <c r="A953" t="inlineStr">
        <is>
          <t>330074</t>
        </is>
      </c>
      <c r="B953" t="inlineStr">
        <is>
          <t>F F Thompson Hospital</t>
        </is>
      </c>
      <c r="C953" t="inlineStr">
        <is>
          <t>NY</t>
        </is>
      </c>
      <c r="D953" t="inlineStr">
        <is>
          <t>Metropolitan</t>
        </is>
      </c>
      <c r="E953" s="5" t="n">
        <v>397</v>
      </c>
      <c r="F953" s="4" t="n">
        <v>0.6775818639798489</v>
      </c>
      <c r="G953" s="4" t="n">
        <v>0.7067628090322823</v>
      </c>
      <c r="H953" s="3" t="n">
        <v>5462104.415648236</v>
      </c>
      <c r="I953" s="3" t="n">
        <v>20589.60108764563</v>
      </c>
      <c r="J953" s="4" t="n">
        <v>0.0037695363399972</v>
      </c>
      <c r="K953">
        <f>IF(AND(I953&gt;0,J953&gt;=Assumptions!$B$4),1,0)</f>
        <v/>
      </c>
      <c r="L953" s="3">
        <f>I953*K953</f>
        <v/>
      </c>
      <c r="M953">
        <f>SUM($K$2:K953)</f>
        <v/>
      </c>
    </row>
    <row r="954">
      <c r="A954" t="inlineStr">
        <is>
          <t>330235</t>
        </is>
      </c>
      <c r="B954" t="inlineStr">
        <is>
          <t>Auburn  Community  Hospital</t>
        </is>
      </c>
      <c r="C954" t="inlineStr">
        <is>
          <t>NY</t>
        </is>
      </c>
      <c r="D954" t="inlineStr">
        <is>
          <t>Micropolitan</t>
        </is>
      </c>
      <c r="E954" s="5" t="n">
        <v>768</v>
      </c>
      <c r="F954" s="4" t="n">
        <v>0.6966145833333334</v>
      </c>
      <c r="G954" s="4" t="n">
        <v>0.6958881613077295</v>
      </c>
      <c r="H954" s="3" t="n">
        <v>9320446.037454832</v>
      </c>
      <c r="I954" s="3" t="n">
        <v>20303.69742484577</v>
      </c>
      <c r="J954" s="4" t="n">
        <v>0.0021784040531165</v>
      </c>
      <c r="K954">
        <f>IF(AND(I954&gt;0,J954&gt;=Assumptions!$B$4),1,0)</f>
        <v/>
      </c>
      <c r="L954" s="3">
        <f>I954*K954</f>
        <v/>
      </c>
      <c r="M954">
        <f>SUM($K$2:K954)</f>
        <v/>
      </c>
    </row>
    <row r="955">
      <c r="A955" t="inlineStr">
        <is>
          <t>240100</t>
        </is>
      </c>
      <c r="B955" t="inlineStr">
        <is>
          <t>Sanford Bemidji Medical Center</t>
        </is>
      </c>
      <c r="C955" t="inlineStr">
        <is>
          <t>MN</t>
        </is>
      </c>
      <c r="D955" t="inlineStr">
        <is>
          <t>Micropolitan</t>
        </is>
      </c>
      <c r="E955" s="5" t="n">
        <v>663</v>
      </c>
      <c r="F955" s="4" t="n">
        <v>0.698340874811463</v>
      </c>
      <c r="G955" s="4" t="n">
        <v>0.6922229250063925</v>
      </c>
      <c r="H955" s="3" t="n">
        <v>9129176.205446484</v>
      </c>
      <c r="I955" s="3" t="n">
        <v>18810.11802887544</v>
      </c>
      <c r="J955" s="4" t="n">
        <v>0.0020604398037199</v>
      </c>
      <c r="K955">
        <f>IF(AND(I955&gt;0,J955&gt;=Assumptions!$B$4),1,0)</f>
        <v/>
      </c>
      <c r="L955" s="3">
        <f>I955*K955</f>
        <v/>
      </c>
      <c r="M955">
        <f>SUM($K$2:K955)</f>
        <v/>
      </c>
    </row>
    <row r="956">
      <c r="A956" t="inlineStr">
        <is>
          <t>150086</t>
        </is>
      </c>
      <c r="B956" t="inlineStr">
        <is>
          <t>St Elizabeth Dearborn Hospital</t>
        </is>
      </c>
      <c r="C956" t="inlineStr">
        <is>
          <t>IN</t>
        </is>
      </c>
      <c r="D956" t="inlineStr">
        <is>
          <t>Micropolitan</t>
        </is>
      </c>
      <c r="E956" s="5" t="n">
        <v>672</v>
      </c>
      <c r="F956" s="4" t="n">
        <v>0.6309523809523809</v>
      </c>
      <c r="G956" s="4" t="n">
        <v>0.6444349407061496</v>
      </c>
      <c r="H956" s="3" t="n">
        <v>9209934.529771164</v>
      </c>
      <c r="I956" s="3" t="n">
        <v>14964.21818152256</v>
      </c>
      <c r="J956" s="4" t="n">
        <v>0.0016247909399519</v>
      </c>
      <c r="K956">
        <f>IF(AND(I956&gt;0,J956&gt;=Assumptions!$B$4),1,0)</f>
        <v/>
      </c>
      <c r="L956" s="3">
        <f>I956*K956</f>
        <v/>
      </c>
      <c r="M956">
        <f>SUM($K$2:K956)</f>
        <v/>
      </c>
    </row>
    <row r="957">
      <c r="A957" t="inlineStr">
        <is>
          <t>340041</t>
        </is>
      </c>
      <c r="B957" t="inlineStr">
        <is>
          <t>Caldwell Memorial Hospital</t>
        </is>
      </c>
      <c r="C957" t="inlineStr">
        <is>
          <t>NC</t>
        </is>
      </c>
      <c r="D957" t="inlineStr">
        <is>
          <t>Metropolitan</t>
        </is>
      </c>
      <c r="E957" s="5" t="n">
        <v>301</v>
      </c>
      <c r="F957" s="4" t="n">
        <v>0.6843853820598007</v>
      </c>
      <c r="G957" s="4" t="n">
        <v>0.6907990257820567</v>
      </c>
      <c r="H957" s="3" t="n">
        <v>4009280.346861121</v>
      </c>
      <c r="I957" s="3" t="n">
        <v>14577.86171570886</v>
      </c>
      <c r="J957" s="4" t="n">
        <v>0.0036360295251295</v>
      </c>
      <c r="K957">
        <f>IF(AND(I957&gt;0,J957&gt;=Assumptions!$B$4),1,0)</f>
        <v/>
      </c>
      <c r="L957" s="3">
        <f>I957*K957</f>
        <v/>
      </c>
      <c r="M957">
        <f>SUM($K$2:K957)</f>
        <v/>
      </c>
    </row>
    <row r="958">
      <c r="A958" t="inlineStr">
        <is>
          <t>490118</t>
        </is>
      </c>
      <c r="B958" t="inlineStr">
        <is>
          <t>Henrico Doctors' Hospital</t>
        </is>
      </c>
      <c r="C958" t="inlineStr">
        <is>
          <t>VA</t>
        </is>
      </c>
      <c r="D958" t="inlineStr">
        <is>
          <t>Metropolitan</t>
        </is>
      </c>
      <c r="E958" s="5" t="n">
        <v>3502</v>
      </c>
      <c r="F958" s="4" t="n">
        <v>0.5151342090234152</v>
      </c>
      <c r="G958" s="4" t="n">
        <v>0.5014667809823461</v>
      </c>
      <c r="H958" s="3" t="n">
        <v>60761856.79203321</v>
      </c>
      <c r="I958" s="3" t="n">
        <v>14175.28896991909</v>
      </c>
      <c r="J958" s="4" t="n">
        <v>0.0002332925575075</v>
      </c>
      <c r="K958">
        <f>IF(AND(I958&gt;0,J958&gt;=Assumptions!$B$4),1,0)</f>
        <v/>
      </c>
      <c r="L958" s="3">
        <f>I958*K958</f>
        <v/>
      </c>
      <c r="M958">
        <f>SUM($K$2:K958)</f>
        <v/>
      </c>
    </row>
    <row r="959">
      <c r="A959" t="inlineStr">
        <is>
          <t>450104</t>
        </is>
      </c>
      <c r="B959" t="inlineStr">
        <is>
          <t>Guadalupe Regional Medical Center</t>
        </is>
      </c>
      <c r="C959" t="inlineStr">
        <is>
          <t>TX</t>
        </is>
      </c>
      <c r="D959" t="inlineStr">
        <is>
          <t>Micropolitan</t>
        </is>
      </c>
      <c r="E959" s="5" t="n">
        <v>541</v>
      </c>
      <c r="F959" s="4" t="n">
        <v>0.5859519408502772</v>
      </c>
      <c r="G959" s="4" t="n">
        <v>0.5955880262545157</v>
      </c>
      <c r="H959" s="3" t="n">
        <v>6740020.67650017</v>
      </c>
      <c r="I959" s="3" t="n">
        <v>14059.25498524029</v>
      </c>
      <c r="J959" s="4" t="n">
        <v>0.0020859364770585</v>
      </c>
      <c r="K959">
        <f>IF(AND(I959&gt;0,J959&gt;=Assumptions!$B$4),1,0)</f>
        <v/>
      </c>
      <c r="L959" s="3">
        <f>I959*K959</f>
        <v/>
      </c>
      <c r="M959">
        <f>SUM($K$2:K959)</f>
        <v/>
      </c>
    </row>
    <row r="960">
      <c r="A960" t="inlineStr">
        <is>
          <t>020006</t>
        </is>
      </c>
      <c r="B960" t="inlineStr">
        <is>
          <t>Mat-Su Regional Medical Center</t>
        </is>
      </c>
      <c r="C960" t="inlineStr">
        <is>
          <t>AK</t>
        </is>
      </c>
      <c r="D960" t="inlineStr">
        <is>
          <t>Micropolitan</t>
        </is>
      </c>
      <c r="E960" s="5" t="n">
        <v>1248</v>
      </c>
      <c r="F960" s="4" t="n">
        <v>0.6306089743589743</v>
      </c>
      <c r="G960" s="4" t="n">
        <v>0.6357068585040365</v>
      </c>
      <c r="H960" s="3" t="n">
        <v>18862955.016845</v>
      </c>
      <c r="I960" s="3" t="n">
        <v>12177.49533646181</v>
      </c>
      <c r="J960" s="4" t="n">
        <v>0.00064557728763</v>
      </c>
      <c r="K960">
        <f>IF(AND(I960&gt;0,J960&gt;=Assumptions!$B$4),1,0)</f>
        <v/>
      </c>
      <c r="L960" s="3">
        <f>I960*K960</f>
        <v/>
      </c>
      <c r="M960">
        <f>SUM($K$2:K960)</f>
        <v/>
      </c>
    </row>
    <row r="961">
      <c r="A961" t="inlineStr">
        <is>
          <t>670055</t>
        </is>
      </c>
      <c r="B961" t="inlineStr">
        <is>
          <t>Methodist Hospital  Stone Oak</t>
        </is>
      </c>
      <c r="C961" t="inlineStr">
        <is>
          <t>TX</t>
        </is>
      </c>
      <c r="D961" t="inlineStr">
        <is>
          <t>Metropolitan</t>
        </is>
      </c>
      <c r="E961" s="5" t="n">
        <v>3069</v>
      </c>
      <c r="F961" s="4" t="n">
        <v>0.5167807103290974</v>
      </c>
      <c r="G961" s="4" t="n">
        <v>0.5300072693482257</v>
      </c>
      <c r="H961" s="3" t="n">
        <v>51419700.57118108</v>
      </c>
      <c r="I961" s="3" t="n">
        <v>11865.56574677676</v>
      </c>
      <c r="J961" s="4" t="n">
        <v>0.0002307591373534</v>
      </c>
      <c r="K961">
        <f>IF(AND(I961&gt;0,J961&gt;=Assumptions!$B$4),1,0)</f>
        <v/>
      </c>
      <c r="L961" s="3">
        <f>I961*K961</f>
        <v/>
      </c>
      <c r="M961">
        <f>SUM($K$2:K961)</f>
        <v/>
      </c>
    </row>
    <row r="962">
      <c r="A962" t="inlineStr">
        <is>
          <t>230176</t>
        </is>
      </c>
      <c r="B962" t="inlineStr">
        <is>
          <t>Beaumont Hospital - Trenton</t>
        </is>
      </c>
      <c r="C962" t="inlineStr">
        <is>
          <t>MI</t>
        </is>
      </c>
      <c r="D962" t="inlineStr">
        <is>
          <t>Metropolitan</t>
        </is>
      </c>
      <c r="E962" s="5" t="n">
        <v>1559</v>
      </c>
      <c r="F962" s="4" t="n">
        <v>0.6100064143681847</v>
      </c>
      <c r="G962" s="4" t="n">
        <v>0.6233528368190155</v>
      </c>
      <c r="H962" s="3" t="n">
        <v>20469016.18843126</v>
      </c>
      <c r="I962" s="3" t="n">
        <v>10970.28662729636</v>
      </c>
      <c r="J962" s="4" t="n">
        <v>0.0005359459646866</v>
      </c>
      <c r="K962">
        <f>IF(AND(I962&gt;0,J962&gt;=Assumptions!$B$4),1,0)</f>
        <v/>
      </c>
      <c r="L962" s="3">
        <f>I962*K962</f>
        <v/>
      </c>
      <c r="M962">
        <f>SUM($K$2:K962)</f>
        <v/>
      </c>
    </row>
    <row r="963">
      <c r="A963" t="inlineStr">
        <is>
          <t>420037</t>
        </is>
      </c>
      <c r="B963" t="inlineStr">
        <is>
          <t>Prisma Health Hillcrest Hospital</t>
        </is>
      </c>
      <c r="C963" t="inlineStr">
        <is>
          <t>SC</t>
        </is>
      </c>
      <c r="D963" t="inlineStr">
        <is>
          <t>Metropolitan</t>
        </is>
      </c>
      <c r="E963" s="5" t="n">
        <v>324</v>
      </c>
      <c r="F963" s="4" t="n">
        <v>0.7283950617283951</v>
      </c>
      <c r="G963" s="4" t="n">
        <v>0.7622248583462706</v>
      </c>
      <c r="H963" s="3" t="n">
        <v>4650187.523775219</v>
      </c>
      <c r="I963" s="3" t="n">
        <v>9540.462011002935</v>
      </c>
      <c r="J963" s="4" t="n">
        <v>0.0020516295229439</v>
      </c>
      <c r="K963">
        <f>IF(AND(I963&gt;0,J963&gt;=Assumptions!$B$4),1,0)</f>
        <v/>
      </c>
      <c r="L963" s="3">
        <f>I963*K963</f>
        <v/>
      </c>
      <c r="M963">
        <f>SUM($K$2:K963)</f>
        <v/>
      </c>
    </row>
    <row r="964">
      <c r="A964" t="inlineStr">
        <is>
          <t>060116</t>
        </is>
      </c>
      <c r="B964" t="inlineStr">
        <is>
          <t>Intermountain Health Good Samaritan Hospital</t>
        </is>
      </c>
      <c r="C964" t="inlineStr">
        <is>
          <t>CO</t>
        </is>
      </c>
      <c r="D964" t="inlineStr">
        <is>
          <t>Metropolitan</t>
        </is>
      </c>
      <c r="E964" s="5" t="n">
        <v>367</v>
      </c>
      <c r="F964" s="4" t="n">
        <v>0.7275204359673024</v>
      </c>
      <c r="G964" s="4" t="n">
        <v>0.7166963868661472</v>
      </c>
      <c r="H964" s="3" t="n">
        <v>5553388.609075259</v>
      </c>
      <c r="I964" s="3" t="n">
        <v>9525.822887972929</v>
      </c>
      <c r="J964" s="4" t="n">
        <v>0.0017153171799297</v>
      </c>
      <c r="K964">
        <f>IF(AND(I964&gt;0,J964&gt;=Assumptions!$B$4),1,0)</f>
        <v/>
      </c>
      <c r="L964" s="3">
        <f>I964*K964</f>
        <v/>
      </c>
      <c r="M964">
        <f>SUM($K$2:K964)</f>
        <v/>
      </c>
    </row>
    <row r="965">
      <c r="A965" t="inlineStr">
        <is>
          <t>030148</t>
        </is>
      </c>
      <c r="B965" t="inlineStr">
        <is>
          <t>Northwest Medical Center Sahuarita</t>
        </is>
      </c>
      <c r="C965" t="inlineStr">
        <is>
          <t>AZ</t>
        </is>
      </c>
      <c r="D965" t="inlineStr">
        <is>
          <t>Micropolitan</t>
        </is>
      </c>
      <c r="E965" s="5" t="n">
        <v>635</v>
      </c>
      <c r="F965" s="4" t="n">
        <v>0.705511811023622</v>
      </c>
      <c r="G965" s="4" t="n">
        <v>0.704525763022479</v>
      </c>
      <c r="H965" s="3" t="n">
        <v>8597504.928075708</v>
      </c>
      <c r="I965" s="3" t="n">
        <v>9449.798581916841</v>
      </c>
      <c r="J965" s="4" t="n">
        <v>0.0010991326740689</v>
      </c>
      <c r="K965">
        <f>IF(AND(I965&gt;0,J965&gt;=Assumptions!$B$4),1,0)</f>
        <v/>
      </c>
      <c r="L965" s="3">
        <f>I965*K965</f>
        <v/>
      </c>
      <c r="M965">
        <f>SUM($K$2:K965)</f>
        <v/>
      </c>
    </row>
    <row r="966">
      <c r="A966" t="inlineStr">
        <is>
          <t>060020</t>
        </is>
      </c>
      <c r="B966" t="inlineStr">
        <is>
          <t>Parkview Medical Center, Inc</t>
        </is>
      </c>
      <c r="C966" t="inlineStr">
        <is>
          <t>CO</t>
        </is>
      </c>
      <c r="D966" t="inlineStr">
        <is>
          <t>Metropolitan</t>
        </is>
      </c>
      <c r="E966" s="5" t="n">
        <v>1752</v>
      </c>
      <c r="F966" s="4" t="n">
        <v>0.557648401826484</v>
      </c>
      <c r="G966" s="4" t="n">
        <v>0.5701357980277855</v>
      </c>
      <c r="H966" s="3" t="n">
        <v>28597699.79213866</v>
      </c>
      <c r="I966" s="3" t="n">
        <v>7850.571959566325</v>
      </c>
      <c r="J966" s="4" t="n">
        <v>0.0002745176016472</v>
      </c>
      <c r="K966">
        <f>IF(AND(I966&gt;0,J966&gt;=Assumptions!$B$4),1,0)</f>
        <v/>
      </c>
      <c r="L966" s="3">
        <f>I966*K966</f>
        <v/>
      </c>
      <c r="M966">
        <f>SUM($K$2:K966)</f>
        <v/>
      </c>
    </row>
    <row r="967">
      <c r="A967" t="inlineStr">
        <is>
          <t>310074</t>
        </is>
      </c>
      <c r="B967" t="inlineStr">
        <is>
          <t>Jersey City Medical Center</t>
        </is>
      </c>
      <c r="C967" t="inlineStr">
        <is>
          <t>NJ</t>
        </is>
      </c>
      <c r="D967" t="inlineStr">
        <is>
          <t>Metropolitan</t>
        </is>
      </c>
      <c r="E967" s="5" t="n">
        <v>1033</v>
      </c>
      <c r="F967" s="4" t="n">
        <v>0.6060019361084221</v>
      </c>
      <c r="G967" s="4" t="n">
        <v>0.6246876149576646</v>
      </c>
      <c r="H967" s="3" t="n">
        <v>14619520.991411</v>
      </c>
      <c r="I967" s="3" t="n">
        <v>7432.07808313705</v>
      </c>
      <c r="J967" s="4" t="n">
        <v>0.0005083667301755</v>
      </c>
      <c r="K967">
        <f>IF(AND(I967&gt;0,J967&gt;=Assumptions!$B$4),1,0)</f>
        <v/>
      </c>
      <c r="L967" s="3">
        <f>I967*K967</f>
        <v/>
      </c>
      <c r="M967">
        <f>SUM($K$2:K967)</f>
        <v/>
      </c>
    </row>
    <row r="968">
      <c r="A968" t="inlineStr">
        <is>
          <t>050425</t>
        </is>
      </c>
      <c r="B968" t="inlineStr">
        <is>
          <t>Kaiser Foundation Hospital - Sacramento</t>
        </is>
      </c>
      <c r="C968" t="inlineStr">
        <is>
          <t>CA</t>
        </is>
      </c>
      <c r="D968" t="inlineStr">
        <is>
          <t>Metropolitan</t>
        </is>
      </c>
      <c r="E968" s="5" t="n">
        <v>361</v>
      </c>
      <c r="F968" s="4" t="n">
        <v>0.778393351800554</v>
      </c>
      <c r="G968" s="4" t="n">
        <v>0.774137564995409</v>
      </c>
      <c r="H968" s="3" t="n">
        <v>6136573.471682127</v>
      </c>
      <c r="I968" s="3" t="n">
        <v>6653.012175270356</v>
      </c>
      <c r="J968" s="4" t="n">
        <v>0.0010841575035272</v>
      </c>
      <c r="K968">
        <f>IF(AND(I968&gt;0,J968&gt;=Assumptions!$B$4),1,0)</f>
        <v/>
      </c>
      <c r="L968" s="3">
        <f>I968*K968</f>
        <v/>
      </c>
      <c r="M968">
        <f>SUM($K$2:K968)</f>
        <v/>
      </c>
    </row>
    <row r="969">
      <c r="A969" t="inlineStr">
        <is>
          <t>220049</t>
        </is>
      </c>
      <c r="B969" t="inlineStr">
        <is>
          <t>Marlborough Hospital</t>
        </is>
      </c>
      <c r="C969" t="inlineStr">
        <is>
          <t>MA</t>
        </is>
      </c>
      <c r="D969" t="inlineStr">
        <is>
          <t>Metropolitan</t>
        </is>
      </c>
      <c r="E969" s="5" t="n">
        <v>798</v>
      </c>
      <c r="F969" s="4" t="n">
        <v>0.6892230576441103</v>
      </c>
      <c r="G969" s="4" t="n">
        <v>0.6785211371122239</v>
      </c>
      <c r="H969" s="3" t="n">
        <v>9575291.813511889</v>
      </c>
      <c r="I969" s="3" t="n">
        <v>6579.061648448929</v>
      </c>
      <c r="J969" s="4" t="n">
        <v>0.0006870873260661</v>
      </c>
      <c r="K969">
        <f>IF(AND(I969&gt;0,J969&gt;=Assumptions!$B$4),1,0)</f>
        <v/>
      </c>
      <c r="L969" s="3">
        <f>I969*K969</f>
        <v/>
      </c>
      <c r="M969">
        <f>SUM($K$2:K969)</f>
        <v/>
      </c>
    </row>
    <row r="970">
      <c r="A970" t="inlineStr">
        <is>
          <t>490019</t>
        </is>
      </c>
      <c r="B970" t="inlineStr">
        <is>
          <t>Uva Health Culpeper Medical Center</t>
        </is>
      </c>
      <c r="C970" t="inlineStr">
        <is>
          <t>VA</t>
        </is>
      </c>
      <c r="D970" t="inlineStr">
        <is>
          <t>Micropolitan</t>
        </is>
      </c>
      <c r="E970" s="5" t="n">
        <v>606</v>
      </c>
      <c r="F970" s="4" t="n">
        <v>0.7095709570957096</v>
      </c>
      <c r="G970" s="4" t="n">
        <v>0.695300759664619</v>
      </c>
      <c r="H970" s="3" t="n">
        <v>7632002.909627523</v>
      </c>
      <c r="I970" s="3" t="n">
        <v>6225.513319930993</v>
      </c>
      <c r="J970" s="4" t="n">
        <v>0.0008157116020065</v>
      </c>
      <c r="K970">
        <f>IF(AND(I970&gt;0,J970&gt;=Assumptions!$B$4),1,0)</f>
        <v/>
      </c>
      <c r="L970" s="3">
        <f>I970*K970</f>
        <v/>
      </c>
      <c r="M970">
        <f>SUM($K$2:K970)</f>
        <v/>
      </c>
    </row>
    <row r="971">
      <c r="A971" t="inlineStr">
        <is>
          <t>330261</t>
        </is>
      </c>
      <c r="B971" t="inlineStr">
        <is>
          <t>Phelps Hospital</t>
        </is>
      </c>
      <c r="C971" t="inlineStr">
        <is>
          <t>NY</t>
        </is>
      </c>
      <c r="D971" t="inlineStr">
        <is>
          <t>Metropolitan</t>
        </is>
      </c>
      <c r="E971" s="5" t="n">
        <v>1380</v>
      </c>
      <c r="F971" s="4" t="n">
        <v>0.6391304347826087</v>
      </c>
      <c r="G971" s="4" t="n">
        <v>0.6177145186859683</v>
      </c>
      <c r="H971" s="3" t="n">
        <v>19881582.25448437</v>
      </c>
      <c r="I971" s="3" t="n">
        <v>4293.060820255429</v>
      </c>
      <c r="J971" s="4" t="n">
        <v>0.0002159315473639</v>
      </c>
      <c r="K971">
        <f>IF(AND(I971&gt;0,J971&gt;=Assumptions!$B$4),1,0)</f>
        <v/>
      </c>
      <c r="L971" s="3">
        <f>I971*K971</f>
        <v/>
      </c>
      <c r="M971">
        <f>SUM($K$2:K971)</f>
        <v/>
      </c>
    </row>
    <row r="972">
      <c r="A972" t="inlineStr">
        <is>
          <t>450147</t>
        </is>
      </c>
      <c r="B972" t="inlineStr">
        <is>
          <t>Detar Healthcare System</t>
        </is>
      </c>
      <c r="C972" t="inlineStr">
        <is>
          <t>TX</t>
        </is>
      </c>
      <c r="D972" t="inlineStr">
        <is>
          <t>Metropolitan</t>
        </is>
      </c>
      <c r="E972" s="5" t="n">
        <v>864</v>
      </c>
      <c r="F972" s="4" t="n">
        <v>0.6238425925925926</v>
      </c>
      <c r="G972" s="4" t="n">
        <v>0.6289286814464348</v>
      </c>
      <c r="H972" s="3" t="n">
        <v>11409122.39424717</v>
      </c>
      <c r="I972" s="3" t="n">
        <v>3968.425719246268</v>
      </c>
      <c r="J972" s="4" t="n">
        <v>0.0003478291828341</v>
      </c>
      <c r="K972">
        <f>IF(AND(I972&gt;0,J972&gt;=Assumptions!$B$4),1,0)</f>
        <v/>
      </c>
      <c r="L972" s="3">
        <f>I972*K972</f>
        <v/>
      </c>
      <c r="M972">
        <f>SUM($K$2:K972)</f>
        <v/>
      </c>
    </row>
    <row r="973">
      <c r="A973" t="inlineStr">
        <is>
          <t>360174</t>
        </is>
      </c>
      <c r="B973" t="inlineStr">
        <is>
          <t>Upper Valley Medical Center</t>
        </is>
      </c>
      <c r="C973" t="inlineStr">
        <is>
          <t>OH</t>
        </is>
      </c>
      <c r="D973" t="inlineStr">
        <is>
          <t>Metropolitan</t>
        </is>
      </c>
      <c r="E973" s="5" t="n">
        <v>956</v>
      </c>
      <c r="F973" s="4" t="n">
        <v>0.5920502092050209</v>
      </c>
      <c r="G973" s="4" t="n">
        <v>0.6041731473296033</v>
      </c>
      <c r="H973" s="3" t="n">
        <v>12029754.67690142</v>
      </c>
      <c r="I973" s="3" t="n">
        <v>3604.492271337658</v>
      </c>
      <c r="J973" s="4" t="n">
        <v>0.0002996314029793</v>
      </c>
      <c r="K973">
        <f>IF(AND(I973&gt;0,J973&gt;=Assumptions!$B$4),1,0)</f>
        <v/>
      </c>
      <c r="L973" s="3">
        <f>I973*K973</f>
        <v/>
      </c>
      <c r="M973">
        <f>SUM($K$2:K973)</f>
        <v/>
      </c>
    </row>
    <row r="974">
      <c r="A974" t="inlineStr">
        <is>
          <t>200020</t>
        </is>
      </c>
      <c r="B974" t="inlineStr">
        <is>
          <t>York Hospital</t>
        </is>
      </c>
      <c r="C974" t="inlineStr">
        <is>
          <t>ME</t>
        </is>
      </c>
      <c r="D974" t="inlineStr">
        <is>
          <t>Metropolitan</t>
        </is>
      </c>
      <c r="E974" s="5" t="n">
        <v>348</v>
      </c>
      <c r="F974" s="4" t="n">
        <v>0.6982758620689655</v>
      </c>
      <c r="G974" s="4" t="n">
        <v>0.6989654708789425</v>
      </c>
      <c r="H974" s="3" t="n">
        <v>4646276.90169266</v>
      </c>
      <c r="I974" s="3" t="n">
        <v>3506.511243380606</v>
      </c>
      <c r="J974" s="4" t="n">
        <v>0.0007546926964475</v>
      </c>
      <c r="K974">
        <f>IF(AND(I974&gt;0,J974&gt;=Assumptions!$B$4),1,0)</f>
        <v/>
      </c>
      <c r="L974" s="3">
        <f>I974*K974</f>
        <v/>
      </c>
      <c r="M974">
        <f>SUM($K$2:K974)</f>
        <v/>
      </c>
    </row>
    <row r="975">
      <c r="A975" t="inlineStr">
        <is>
          <t>220073</t>
        </is>
      </c>
      <c r="B975" t="inlineStr">
        <is>
          <t>Morton Hospital</t>
        </is>
      </c>
      <c r="C975" t="inlineStr">
        <is>
          <t>MA</t>
        </is>
      </c>
      <c r="D975" t="inlineStr">
        <is>
          <t>Metropolitan</t>
        </is>
      </c>
      <c r="E975" s="5" t="n">
        <v>2096</v>
      </c>
      <c r="F975" s="4" t="n">
        <v>0.5591603053435115</v>
      </c>
      <c r="G975" s="4" t="n">
        <v>0.5627766741293998</v>
      </c>
      <c r="H975" s="3" t="n">
        <v>24924239.47890468</v>
      </c>
      <c r="I975" s="3" t="n">
        <v>3403.966497518122</v>
      </c>
      <c r="J975" s="4" t="n">
        <v>0.0001365725321488</v>
      </c>
      <c r="K975">
        <f>IF(AND(I975&gt;0,J975&gt;=Assumptions!$B$4),1,0)</f>
        <v/>
      </c>
      <c r="L975" s="3">
        <f>I975*K975</f>
        <v/>
      </c>
      <c r="M975">
        <f>SUM($K$2:K975)</f>
        <v/>
      </c>
    </row>
    <row r="976">
      <c r="A976" t="inlineStr">
        <is>
          <t>520004</t>
        </is>
      </c>
      <c r="B976" t="inlineStr">
        <is>
          <t>Mayo Clinic Health System In La Crosse</t>
        </is>
      </c>
      <c r="C976" t="inlineStr">
        <is>
          <t>WI</t>
        </is>
      </c>
      <c r="D976" t="inlineStr">
        <is>
          <t>Metropolitan</t>
        </is>
      </c>
      <c r="E976" s="5" t="n">
        <v>835</v>
      </c>
      <c r="F976" s="4" t="n">
        <v>0.6694610778443114</v>
      </c>
      <c r="G976" s="4" t="n">
        <v>0.6636675188302612</v>
      </c>
      <c r="H976" s="3" t="n">
        <v>11724240.23457349</v>
      </c>
      <c r="I976" s="3" t="n">
        <v>2901.092829532921</v>
      </c>
      <c r="J976" s="4" t="n">
        <v>0.0002474439939381</v>
      </c>
      <c r="K976">
        <f>IF(AND(I976&gt;0,J976&gt;=Assumptions!$B$4),1,0)</f>
        <v/>
      </c>
      <c r="L976" s="3">
        <f>I976*K976</f>
        <v/>
      </c>
      <c r="M976">
        <f>SUM($K$2:K976)</f>
        <v/>
      </c>
    </row>
    <row r="977">
      <c r="A977" t="inlineStr">
        <is>
          <t>490110</t>
        </is>
      </c>
      <c r="B977" t="inlineStr">
        <is>
          <t>Lewisgale Hospital Montgomery</t>
        </is>
      </c>
      <c r="C977" t="inlineStr">
        <is>
          <t>VA</t>
        </is>
      </c>
      <c r="D977" t="inlineStr">
        <is>
          <t>Metropolitan</t>
        </is>
      </c>
      <c r="E977" s="5" t="n">
        <v>994</v>
      </c>
      <c r="F977" s="4" t="n">
        <v>0.641851106639839</v>
      </c>
      <c r="G977" s="4" t="n">
        <v>0.6672006037196077</v>
      </c>
      <c r="H977" s="3" t="n">
        <v>14279050.94892614</v>
      </c>
      <c r="I977" s="3" t="n">
        <v>2552.163402369246</v>
      </c>
      <c r="J977" s="4" t="n">
        <v>0.0001787348060804</v>
      </c>
      <c r="K977">
        <f>IF(AND(I977&gt;0,J977&gt;=Assumptions!$B$4),1,0)</f>
        <v/>
      </c>
      <c r="L977" s="3">
        <f>I977*K977</f>
        <v/>
      </c>
      <c r="M977">
        <f>SUM($K$2:K977)</f>
        <v/>
      </c>
    </row>
    <row r="978">
      <c r="A978" t="inlineStr">
        <is>
          <t>060125</t>
        </is>
      </c>
      <c r="B978" t="inlineStr">
        <is>
          <t>Adventhealth Castle Rock</t>
        </is>
      </c>
      <c r="C978" t="inlineStr">
        <is>
          <t>CO</t>
        </is>
      </c>
      <c r="D978" t="inlineStr">
        <is>
          <t>Metropolitan</t>
        </is>
      </c>
      <c r="E978" s="5" t="n">
        <v>313</v>
      </c>
      <c r="F978" s="4" t="n">
        <v>0.6996805111821086</v>
      </c>
      <c r="G978" s="4" t="n">
        <v>0.71221794180774</v>
      </c>
      <c r="H978" s="3" t="n">
        <v>4790205.243782311</v>
      </c>
      <c r="I978" s="3" t="n">
        <v>2016.605900474824</v>
      </c>
      <c r="J978" s="4" t="n">
        <v>0.0004209852809735</v>
      </c>
      <c r="K978">
        <f>IF(AND(I978&gt;0,J978&gt;=Assumptions!$B$4),1,0)</f>
        <v/>
      </c>
      <c r="L978" s="3">
        <f>I978*K978</f>
        <v/>
      </c>
      <c r="M978">
        <f>SUM($K$2:K978)</f>
        <v/>
      </c>
    </row>
    <row r="979">
      <c r="A979" t="inlineStr">
        <is>
          <t>390335</t>
        </is>
      </c>
      <c r="B979" t="inlineStr">
        <is>
          <t>St Luke's Hospital - Carbon Campus</t>
        </is>
      </c>
      <c r="C979" t="inlineStr">
        <is>
          <t>PA</t>
        </is>
      </c>
      <c r="D979" t="inlineStr">
        <is>
          <t>Metropolitan</t>
        </is>
      </c>
      <c r="E979" s="5" t="n">
        <v>761</v>
      </c>
      <c r="F979" s="4" t="n">
        <v>0.6622864651773982</v>
      </c>
      <c r="G979" s="4" t="n">
        <v>0.6743421512590041</v>
      </c>
      <c r="H979" s="3" t="n">
        <v>10324464.73951894</v>
      </c>
      <c r="I979" s="3" t="n">
        <v>1361.057047523558</v>
      </c>
      <c r="J979" s="4" t="n">
        <v>0.0001318283399539</v>
      </c>
      <c r="K979">
        <f>IF(AND(I979&gt;0,J979&gt;=Assumptions!$B$4),1,0)</f>
        <v/>
      </c>
      <c r="L979" s="3">
        <f>I979*K979</f>
        <v/>
      </c>
      <c r="M979">
        <f>SUM($K$2:K979)</f>
        <v/>
      </c>
    </row>
    <row r="980">
      <c r="A980" t="inlineStr">
        <is>
          <t>100302</t>
        </is>
      </c>
      <c r="B980" t="inlineStr">
        <is>
          <t>Orlando Health St Cloud Hospital</t>
        </is>
      </c>
      <c r="C980" t="inlineStr">
        <is>
          <t>FL</t>
        </is>
      </c>
      <c r="D980" t="inlineStr">
        <is>
          <t>Metropolitan</t>
        </is>
      </c>
      <c r="E980" s="5" t="n">
        <v>703</v>
      </c>
      <c r="F980" s="4" t="n">
        <v>0.6714082503556188</v>
      </c>
      <c r="G980" s="4" t="n">
        <v>0.6720017545913205</v>
      </c>
      <c r="H980" s="3" t="n">
        <v>8933074.369292485</v>
      </c>
      <c r="I980" s="3" t="n">
        <v>970.6150713451208</v>
      </c>
      <c r="J980" s="4" t="n">
        <v>0.0001086540905426</v>
      </c>
      <c r="K980">
        <f>IF(AND(I980&gt;0,J980&gt;=Assumptions!$B$4),1,0)</f>
        <v/>
      </c>
      <c r="L980" s="3">
        <f>I980*K980</f>
        <v/>
      </c>
      <c r="M980">
        <f>SUM($K$2:K980)</f>
        <v/>
      </c>
    </row>
    <row r="981">
      <c r="A981" t="inlineStr">
        <is>
          <t>050118</t>
        </is>
      </c>
      <c r="B981" t="inlineStr">
        <is>
          <t>Doctors Hospital Of Manteca</t>
        </is>
      </c>
      <c r="C981" t="inlineStr">
        <is>
          <t>CA</t>
        </is>
      </c>
      <c r="D981" t="inlineStr">
        <is>
          <t>Metropolitan</t>
        </is>
      </c>
      <c r="E981" s="5" t="n">
        <v>395</v>
      </c>
      <c r="F981" s="4" t="n">
        <v>0.7518987341772152</v>
      </c>
      <c r="G981" s="4" t="n">
        <v>0.7337115124779899</v>
      </c>
      <c r="H981" s="3" t="n">
        <v>5421619.769059235</v>
      </c>
      <c r="I981" s="3" t="n">
        <v>609.7801388371736</v>
      </c>
      <c r="J981" s="4" t="n">
        <v>0.0001124719483865</v>
      </c>
      <c r="K981">
        <f>IF(AND(I981&gt;0,J981&gt;=Assumptions!$B$4),1,0)</f>
        <v/>
      </c>
      <c r="L981" s="3">
        <f>I981*K981</f>
        <v/>
      </c>
      <c r="M981">
        <f>SUM($K$2:K981)</f>
        <v/>
      </c>
    </row>
    <row r="982">
      <c r="A982" t="inlineStr">
        <is>
          <t>100132</t>
        </is>
      </c>
      <c r="B982" t="inlineStr">
        <is>
          <t>South Florida Baptist Hospital</t>
        </is>
      </c>
      <c r="C982" t="inlineStr">
        <is>
          <t>FL</t>
        </is>
      </c>
      <c r="D982" t="inlineStr">
        <is>
          <t>Metropolitan</t>
        </is>
      </c>
      <c r="E982" s="5" t="n">
        <v>546</v>
      </c>
      <c r="F982" s="4" t="n">
        <v>0.684981684981685</v>
      </c>
      <c r="G982" s="4" t="n">
        <v>0.695276484162248</v>
      </c>
      <c r="H982" s="3" t="n">
        <v>7380398.342740358</v>
      </c>
      <c r="I982" s="3" t="n">
        <v>467.3521552514285</v>
      </c>
      <c r="J982" s="4" t="n">
        <v>6.332343236068469e-05</v>
      </c>
      <c r="K982">
        <f>IF(AND(I982&gt;0,J982&gt;=Assumptions!$B$4),1,0)</f>
        <v/>
      </c>
      <c r="L982" s="3">
        <f>I982*K982</f>
        <v/>
      </c>
      <c r="M982">
        <f>SUM($K$2:K982)</f>
        <v/>
      </c>
    </row>
    <row r="983">
      <c r="A983" t="inlineStr">
        <is>
          <t>420101</t>
        </is>
      </c>
      <c r="B983" t="inlineStr">
        <is>
          <t>Coastal Carolina Hospital</t>
        </is>
      </c>
      <c r="C983" t="inlineStr">
        <is>
          <t>SC</t>
        </is>
      </c>
      <c r="D983" t="inlineStr">
        <is>
          <t>Metropolitan</t>
        </is>
      </c>
      <c r="E983" s="5" t="n">
        <v>474</v>
      </c>
      <c r="F983" s="4" t="n">
        <v>0.6856540084388185</v>
      </c>
      <c r="G983" s="4" t="n">
        <v>0.6846619076489805</v>
      </c>
      <c r="H983" s="3" t="n">
        <v>6858585.783723653</v>
      </c>
      <c r="I983" s="3" t="n">
        <v>-893.4441590830684</v>
      </c>
      <c r="J983" s="4" t="n">
        <v>-0.0001302665282984</v>
      </c>
      <c r="K983">
        <f>IF(AND(I983&gt;0,J983&gt;=Assumptions!$B$4),1,0)</f>
        <v/>
      </c>
      <c r="L983" s="3">
        <f>I983*K983</f>
        <v/>
      </c>
      <c r="M983">
        <f>SUM($K$2:K983)</f>
        <v/>
      </c>
    </row>
    <row r="984">
      <c r="A984" t="inlineStr">
        <is>
          <t>370202</t>
        </is>
      </c>
      <c r="B984" t="inlineStr">
        <is>
          <t>Hillcrest Hospital South</t>
        </is>
      </c>
      <c r="C984" t="inlineStr">
        <is>
          <t>OK</t>
        </is>
      </c>
      <c r="D984" t="inlineStr">
        <is>
          <t>Metropolitan</t>
        </is>
      </c>
      <c r="E984" s="5" t="n">
        <v>1485</v>
      </c>
      <c r="F984" s="4" t="n">
        <v>0.6491582491582492</v>
      </c>
      <c r="G984" s="4" t="n">
        <v>0.6161668384080157</v>
      </c>
      <c r="H984" s="3" t="n">
        <v>21240514.18527735</v>
      </c>
      <c r="I984" s="3" t="n">
        <v>-916.5530254393816</v>
      </c>
      <c r="J984" s="4" t="n">
        <v>-4.315116938528169e-05</v>
      </c>
      <c r="K984">
        <f>IF(AND(I984&gt;0,J984&gt;=Assumptions!$B$4),1,0)</f>
        <v/>
      </c>
      <c r="L984" s="3">
        <f>I984*K984</f>
        <v/>
      </c>
      <c r="M984">
        <f>SUM($K$2:K984)</f>
        <v/>
      </c>
    </row>
    <row r="985">
      <c r="A985" t="inlineStr">
        <is>
          <t>100315</t>
        </is>
      </c>
      <c r="B985" t="inlineStr">
        <is>
          <t>Viera Hospital</t>
        </is>
      </c>
      <c r="C985" t="inlineStr">
        <is>
          <t>FL</t>
        </is>
      </c>
      <c r="D985" t="inlineStr">
        <is>
          <t>Metropolitan</t>
        </is>
      </c>
      <c r="E985" s="5" t="n">
        <v>1406</v>
      </c>
      <c r="F985" s="4" t="n">
        <v>0.5526315789473685</v>
      </c>
      <c r="G985" s="4" t="n">
        <v>0.5609159230919984</v>
      </c>
      <c r="H985" s="3" t="n">
        <v>18405542.97229011</v>
      </c>
      <c r="I985" s="3" t="n">
        <v>-1300.155444081873</v>
      </c>
      <c r="J985" s="4" t="n">
        <v>-7.063934196558511e-05</v>
      </c>
      <c r="K985">
        <f>IF(AND(I985&gt;0,J985&gt;=Assumptions!$B$4),1,0)</f>
        <v/>
      </c>
      <c r="L985" s="3">
        <f>I985*K985</f>
        <v/>
      </c>
      <c r="M985">
        <f>SUM($K$2:K985)</f>
        <v/>
      </c>
    </row>
    <row r="986">
      <c r="A986" t="inlineStr">
        <is>
          <t>260190</t>
        </is>
      </c>
      <c r="B986" t="inlineStr">
        <is>
          <t>Lee's Summit Medical Center</t>
        </is>
      </c>
      <c r="C986" t="inlineStr">
        <is>
          <t>MO</t>
        </is>
      </c>
      <c r="D986" t="inlineStr">
        <is>
          <t>Metropolitan</t>
        </is>
      </c>
      <c r="E986" s="5" t="n">
        <v>688</v>
      </c>
      <c r="F986" s="4" t="n">
        <v>0.6162790697674418</v>
      </c>
      <c r="G986" s="4" t="n">
        <v>0.6439200737019621</v>
      </c>
      <c r="H986" s="3" t="n">
        <v>9900767.669150006</v>
      </c>
      <c r="I986" s="3" t="n">
        <v>-1663.765068810433</v>
      </c>
      <c r="J986" s="4" t="n">
        <v>-0.0001680440471292</v>
      </c>
      <c r="K986">
        <f>IF(AND(I986&gt;0,J986&gt;=Assumptions!$B$4),1,0)</f>
        <v/>
      </c>
      <c r="L986" s="3">
        <f>I986*K986</f>
        <v/>
      </c>
      <c r="M986">
        <f>SUM($K$2:K986)</f>
        <v/>
      </c>
    </row>
    <row r="987">
      <c r="A987" t="inlineStr">
        <is>
          <t>050017</t>
        </is>
      </c>
      <c r="B987" t="inlineStr">
        <is>
          <t>Mercy General Hospital</t>
        </is>
      </c>
      <c r="C987" t="inlineStr">
        <is>
          <t>CA</t>
        </is>
      </c>
      <c r="D987" t="inlineStr">
        <is>
          <t>Metropolitan</t>
        </is>
      </c>
      <c r="E987" s="5" t="n">
        <v>1882</v>
      </c>
      <c r="F987" s="4" t="n">
        <v>0.563230605738576</v>
      </c>
      <c r="G987" s="4" t="n">
        <v>0.5616241314053896</v>
      </c>
      <c r="H987" s="3" t="n">
        <v>36095307.38945302</v>
      </c>
      <c r="I987" s="3" t="n">
        <v>-1843.13609841466</v>
      </c>
      <c r="J987" s="4" t="n">
        <v>-5.106303926236186e-05</v>
      </c>
      <c r="K987">
        <f>IF(AND(I987&gt;0,J987&gt;=Assumptions!$B$4),1,0)</f>
        <v/>
      </c>
      <c r="L987" s="3">
        <f>I987*K987</f>
        <v/>
      </c>
      <c r="M987">
        <f>SUM($K$2:K987)</f>
        <v/>
      </c>
    </row>
    <row r="988">
      <c r="A988" t="inlineStr">
        <is>
          <t>250082</t>
        </is>
      </c>
      <c r="B988" t="inlineStr">
        <is>
          <t>Delta Health System - The Medical Center</t>
        </is>
      </c>
      <c r="C988" t="inlineStr">
        <is>
          <t>MS</t>
        </is>
      </c>
      <c r="D988" t="inlineStr">
        <is>
          <t>Unclassified</t>
        </is>
      </c>
      <c r="E988" s="5" t="n">
        <v>455</v>
      </c>
      <c r="F988" s="4" t="n">
        <v>0.6131868131868132</v>
      </c>
      <c r="G988" s="4" t="n">
        <v>0.6201245636300634</v>
      </c>
      <c r="H988" s="3" t="n">
        <v>5596885.034398341</v>
      </c>
      <c r="I988" s="3" t="n">
        <v>-1903.060520334169</v>
      </c>
      <c r="J988" s="4" t="n">
        <v>-0.0003400213705727</v>
      </c>
      <c r="K988">
        <f>IF(AND(I988&gt;0,J988&gt;=Assumptions!$B$4),1,0)</f>
        <v/>
      </c>
      <c r="L988" s="3">
        <f>I988*K988</f>
        <v/>
      </c>
      <c r="M988">
        <f>SUM($K$2:K988)</f>
        <v/>
      </c>
    </row>
    <row r="989">
      <c r="A989" t="inlineStr">
        <is>
          <t>310084</t>
        </is>
      </c>
      <c r="B989" t="inlineStr">
        <is>
          <t>Monmouth Medical Center-Southern Campus</t>
        </is>
      </c>
      <c r="C989" t="inlineStr">
        <is>
          <t>NJ</t>
        </is>
      </c>
      <c r="D989" t="inlineStr">
        <is>
          <t>Metropolitan</t>
        </is>
      </c>
      <c r="E989" s="5" t="n">
        <v>948</v>
      </c>
      <c r="F989" s="4" t="n">
        <v>0.7046413502109705</v>
      </c>
      <c r="G989" s="4" t="n">
        <v>0.7154798947650353</v>
      </c>
      <c r="H989" s="3" t="n">
        <v>13055783.64709399</v>
      </c>
      <c r="I989" s="3" t="n">
        <v>-2608.246320104226</v>
      </c>
      <c r="J989" s="4" t="n">
        <v>-0.0001997770789258</v>
      </c>
      <c r="K989">
        <f>IF(AND(I989&gt;0,J989&gt;=Assumptions!$B$4),1,0)</f>
        <v/>
      </c>
      <c r="L989" s="3">
        <f>I989*K989</f>
        <v/>
      </c>
      <c r="M989">
        <f>SUM($K$2:K989)</f>
        <v/>
      </c>
    </row>
    <row r="990">
      <c r="A990" t="inlineStr">
        <is>
          <t>140064</t>
        </is>
      </c>
      <c r="B990" t="inlineStr">
        <is>
          <t>St Mary Medical Center</t>
        </is>
      </c>
      <c r="C990" t="inlineStr">
        <is>
          <t>IL</t>
        </is>
      </c>
      <c r="D990" t="inlineStr">
        <is>
          <t>Micropolitan</t>
        </is>
      </c>
      <c r="E990" s="5" t="n">
        <v>790</v>
      </c>
      <c r="F990" s="4" t="n">
        <v>0.6620253164556962</v>
      </c>
      <c r="G990" s="4" t="n">
        <v>0.6685278872062477</v>
      </c>
      <c r="H990" s="3" t="n">
        <v>9904030.603151184</v>
      </c>
      <c r="I990" s="3" t="n">
        <v>-2628.642215317115</v>
      </c>
      <c r="J990" s="4" t="n">
        <v>-0.0002654113583292</v>
      </c>
      <c r="K990">
        <f>IF(AND(I990&gt;0,J990&gt;=Assumptions!$B$4),1,0)</f>
        <v/>
      </c>
      <c r="L990" s="3">
        <f>I990*K990</f>
        <v/>
      </c>
      <c r="M990">
        <f>SUM($K$2:K990)</f>
        <v/>
      </c>
    </row>
    <row r="991">
      <c r="A991" t="inlineStr">
        <is>
          <t>330078</t>
        </is>
      </c>
      <c r="B991" t="inlineStr">
        <is>
          <t>Sisters Of Charity Hospital</t>
        </is>
      </c>
      <c r="C991" t="inlineStr">
        <is>
          <t>NY</t>
        </is>
      </c>
      <c r="D991" t="inlineStr">
        <is>
          <t>Metropolitan</t>
        </is>
      </c>
      <c r="E991" s="5" t="n">
        <v>405</v>
      </c>
      <c r="F991" s="4" t="n">
        <v>0.6592592592592592</v>
      </c>
      <c r="G991" s="4" t="n">
        <v>0.6736718324311525</v>
      </c>
      <c r="H991" s="3" t="n">
        <v>4841626.606064242</v>
      </c>
      <c r="I991" s="3" t="n">
        <v>-3405.35590783041</v>
      </c>
      <c r="J991" s="4" t="n">
        <v>-0.0007033495527236</v>
      </c>
      <c r="K991">
        <f>IF(AND(I991&gt;0,J991&gt;=Assumptions!$B$4),1,0)</f>
        <v/>
      </c>
      <c r="L991" s="3">
        <f>I991*K991</f>
        <v/>
      </c>
      <c r="M991">
        <f>SUM($K$2:K991)</f>
        <v/>
      </c>
    </row>
    <row r="992">
      <c r="A992" t="inlineStr">
        <is>
          <t>310017</t>
        </is>
      </c>
      <c r="B992" t="inlineStr">
        <is>
          <t>Chilton Medical Center</t>
        </is>
      </c>
      <c r="C992" t="inlineStr">
        <is>
          <t>NJ</t>
        </is>
      </c>
      <c r="D992" t="inlineStr">
        <is>
          <t>Metropolitan</t>
        </is>
      </c>
      <c r="E992" s="5" t="n">
        <v>2598</v>
      </c>
      <c r="F992" s="4" t="n">
        <v>0.605080831408776</v>
      </c>
      <c r="G992" s="4" t="n">
        <v>0.6048033055364851</v>
      </c>
      <c r="H992" s="3" t="n">
        <v>35379790.27724058</v>
      </c>
      <c r="I992" s="3" t="n">
        <v>-3607.488317206502</v>
      </c>
      <c r="J992" s="4" t="n">
        <v>-0.0001019646608681</v>
      </c>
      <c r="K992">
        <f>IF(AND(I992&gt;0,J992&gt;=Assumptions!$B$4),1,0)</f>
        <v/>
      </c>
      <c r="L992" s="3">
        <f>I992*K992</f>
        <v/>
      </c>
      <c r="M992">
        <f>SUM($K$2:K992)</f>
        <v/>
      </c>
    </row>
    <row r="993">
      <c r="A993" t="inlineStr">
        <is>
          <t>490084</t>
        </is>
      </c>
      <c r="B993" t="inlineStr">
        <is>
          <t>Vcu Health Tappahannock Hospital</t>
        </is>
      </c>
      <c r="C993" t="inlineStr">
        <is>
          <t>VA</t>
        </is>
      </c>
      <c r="D993" t="inlineStr">
        <is>
          <t>Metropolitan</t>
        </is>
      </c>
      <c r="E993" s="5" t="n">
        <v>332</v>
      </c>
      <c r="F993" s="4" t="n">
        <v>0.713855421686747</v>
      </c>
      <c r="G993" s="4" t="n">
        <v>0.700137974428762</v>
      </c>
      <c r="H993" s="3" t="n">
        <v>3916715.394839632</v>
      </c>
      <c r="I993" s="3" t="n">
        <v>-3751.362162715755</v>
      </c>
      <c r="J993" s="4" t="n">
        <v>-0.0009577826787359</v>
      </c>
      <c r="K993">
        <f>IF(AND(I993&gt;0,J993&gt;=Assumptions!$B$4),1,0)</f>
        <v/>
      </c>
      <c r="L993" s="3">
        <f>I993*K993</f>
        <v/>
      </c>
      <c r="M993">
        <f>SUM($K$2:K993)</f>
        <v/>
      </c>
    </row>
    <row r="994">
      <c r="A994" t="inlineStr">
        <is>
          <t>490119</t>
        </is>
      </c>
      <c r="B994" t="inlineStr">
        <is>
          <t>Sentara Princess Anne Hospital</t>
        </is>
      </c>
      <c r="C994" t="inlineStr">
        <is>
          <t>VA</t>
        </is>
      </c>
      <c r="D994" t="inlineStr">
        <is>
          <t>Metropolitan</t>
        </is>
      </c>
      <c r="E994" s="5" t="n">
        <v>3090</v>
      </c>
      <c r="F994" s="4" t="n">
        <v>0.6456310679611651</v>
      </c>
      <c r="G994" s="4" t="n">
        <v>0.624891298746914</v>
      </c>
      <c r="H994" s="3" t="n">
        <v>48786819.18027828</v>
      </c>
      <c r="I994" s="3" t="n">
        <v>-3963.174886457622</v>
      </c>
      <c r="J994" s="4" t="n">
        <v>-8.123454148164074e-05</v>
      </c>
      <c r="K994">
        <f>IF(AND(I994&gt;0,J994&gt;=Assumptions!$B$4),1,0)</f>
        <v/>
      </c>
      <c r="L994" s="3">
        <f>I994*K994</f>
        <v/>
      </c>
      <c r="M994">
        <f>SUM($K$2:K994)</f>
        <v/>
      </c>
    </row>
    <row r="995">
      <c r="A995" t="inlineStr">
        <is>
          <t>150002</t>
        </is>
      </c>
      <c r="B995" t="inlineStr">
        <is>
          <t>Methodist Hospitals Inc</t>
        </is>
      </c>
      <c r="C995" t="inlineStr">
        <is>
          <t>IN</t>
        </is>
      </c>
      <c r="D995" t="inlineStr">
        <is>
          <t>Metropolitan</t>
        </is>
      </c>
      <c r="E995" s="5" t="n">
        <v>1407</v>
      </c>
      <c r="F995" s="4" t="n">
        <v>0.6233120113717129</v>
      </c>
      <c r="G995" s="4" t="n">
        <v>0.645817743271184</v>
      </c>
      <c r="H995" s="3" t="n">
        <v>18404401.89153323</v>
      </c>
      <c r="I995" s="3" t="n">
        <v>-5127.219379294664</v>
      </c>
      <c r="J995" s="4" t="n">
        <v>-0.0002785865799666</v>
      </c>
      <c r="K995">
        <f>IF(AND(I995&gt;0,J995&gt;=Assumptions!$B$4),1,0)</f>
        <v/>
      </c>
      <c r="L995" s="3">
        <f>I995*K995</f>
        <v/>
      </c>
      <c r="M995">
        <f>SUM($K$2:K995)</f>
        <v/>
      </c>
    </row>
    <row r="996">
      <c r="A996" t="inlineStr">
        <is>
          <t>100054</t>
        </is>
      </c>
      <c r="B996" t="inlineStr">
        <is>
          <t>Hca Florida Twin Cities Hospital</t>
        </is>
      </c>
      <c r="C996" t="inlineStr">
        <is>
          <t>FL</t>
        </is>
      </c>
      <c r="D996" t="inlineStr">
        <is>
          <t>Metropolitan</t>
        </is>
      </c>
      <c r="E996" s="5" t="n">
        <v>495</v>
      </c>
      <c r="F996" s="4" t="n">
        <v>0.5535353535353535</v>
      </c>
      <c r="G996" s="4" t="n">
        <v>0.5667926243054591</v>
      </c>
      <c r="H996" s="3" t="n">
        <v>6159810.402112396</v>
      </c>
      <c r="I996" s="3" t="n">
        <v>-6116.363121628761</v>
      </c>
      <c r="J996" s="4" t="n">
        <v>-0.0009929466529572</v>
      </c>
      <c r="K996">
        <f>IF(AND(I996&gt;0,J996&gt;=Assumptions!$B$4),1,0)</f>
        <v/>
      </c>
      <c r="L996" s="3">
        <f>I996*K996</f>
        <v/>
      </c>
      <c r="M996">
        <f>SUM($K$2:K996)</f>
        <v/>
      </c>
    </row>
    <row r="997">
      <c r="A997" t="inlineStr">
        <is>
          <t>160057</t>
        </is>
      </c>
      <c r="B997" t="inlineStr">
        <is>
          <t>Southeast Iowa Regional Medical Center</t>
        </is>
      </c>
      <c r="C997" t="inlineStr">
        <is>
          <t>IA</t>
        </is>
      </c>
      <c r="D997" t="inlineStr">
        <is>
          <t>Micropolitan</t>
        </is>
      </c>
      <c r="E997" s="5" t="n">
        <v>1170</v>
      </c>
      <c r="F997" s="4" t="n">
        <v>0.6367521367521367</v>
      </c>
      <c r="G997" s="4" t="n">
        <v>0.648581468073165</v>
      </c>
      <c r="H997" s="3" t="n">
        <v>17295601.28940026</v>
      </c>
      <c r="I997" s="3" t="n">
        <v>-6432.152394585311</v>
      </c>
      <c r="J997" s="4" t="n">
        <v>-0.0003718952748134</v>
      </c>
      <c r="K997">
        <f>IF(AND(I997&gt;0,J997&gt;=Assumptions!$B$4),1,0)</f>
        <v/>
      </c>
      <c r="L997" s="3">
        <f>I997*K997</f>
        <v/>
      </c>
      <c r="M997">
        <f>SUM($K$2:K997)</f>
        <v/>
      </c>
    </row>
    <row r="998">
      <c r="A998" t="inlineStr">
        <is>
          <t>100014</t>
        </is>
      </c>
      <c r="B998" t="inlineStr">
        <is>
          <t>Adventhealth New Smyrna Beach</t>
        </is>
      </c>
      <c r="C998" t="inlineStr">
        <is>
          <t>FL</t>
        </is>
      </c>
      <c r="D998" t="inlineStr">
        <is>
          <t>Metropolitan</t>
        </is>
      </c>
      <c r="E998" s="5" t="n">
        <v>1044</v>
      </c>
      <c r="F998" s="4" t="n">
        <v>0.6599616858237548</v>
      </c>
      <c r="G998" s="4" t="n">
        <v>0.6578808011377094</v>
      </c>
      <c r="H998" s="3" t="n">
        <v>14994745.69968019</v>
      </c>
      <c r="I998" s="3" t="n">
        <v>-6638.693531086668</v>
      </c>
      <c r="J998" s="4" t="n">
        <v>-0.0004427346527942</v>
      </c>
      <c r="K998">
        <f>IF(AND(I998&gt;0,J998&gt;=Assumptions!$B$4),1,0)</f>
        <v/>
      </c>
      <c r="L998" s="3">
        <f>I998*K998</f>
        <v/>
      </c>
      <c r="M998">
        <f>SUM($K$2:K998)</f>
        <v/>
      </c>
    </row>
    <row r="999">
      <c r="A999" t="inlineStr">
        <is>
          <t>340155</t>
        </is>
      </c>
      <c r="B999" t="inlineStr">
        <is>
          <t>Duke Regional Hospital</t>
        </is>
      </c>
      <c r="C999" t="inlineStr">
        <is>
          <t>NC</t>
        </is>
      </c>
      <c r="D999" t="inlineStr">
        <is>
          <t>Metropolitan</t>
        </is>
      </c>
      <c r="E999" s="5" t="n">
        <v>1606</v>
      </c>
      <c r="F999" s="4" t="n">
        <v>0.5933997509339975</v>
      </c>
      <c r="G999" s="4" t="n">
        <v>0.6020531799846872</v>
      </c>
      <c r="H999" s="3" t="n">
        <v>21663477.80106406</v>
      </c>
      <c r="I999" s="3" t="n">
        <v>-6841.387637812644</v>
      </c>
      <c r="J999" s="4" t="n">
        <v>-0.0003158028318738</v>
      </c>
      <c r="K999">
        <f>IF(AND(I999&gt;0,J999&gt;=Assumptions!$B$4),1,0)</f>
        <v/>
      </c>
      <c r="L999" s="3">
        <f>I999*K999</f>
        <v/>
      </c>
      <c r="M999">
        <f>SUM($K$2:K999)</f>
        <v/>
      </c>
    </row>
    <row r="1000">
      <c r="A1000" t="inlineStr">
        <is>
          <t>330181</t>
        </is>
      </c>
      <c r="B1000" t="inlineStr">
        <is>
          <t>Glen Cove Hospital</t>
        </is>
      </c>
      <c r="C1000" t="inlineStr">
        <is>
          <t>NY</t>
        </is>
      </c>
      <c r="D1000" t="inlineStr">
        <is>
          <t>Metropolitan</t>
        </is>
      </c>
      <c r="E1000" s="5" t="n">
        <v>1064</v>
      </c>
      <c r="F1000" s="4" t="n">
        <v>0.618421052631579</v>
      </c>
      <c r="G1000" s="4" t="n">
        <v>0.6182824213657085</v>
      </c>
      <c r="H1000" s="3" t="n">
        <v>14749108.05359075</v>
      </c>
      <c r="I1000" s="3" t="n">
        <v>-6987.112873686478</v>
      </c>
      <c r="J1000" s="4" t="n">
        <v>-0.0004737312146808</v>
      </c>
      <c r="K1000">
        <f>IF(AND(I1000&gt;0,J1000&gt;=Assumptions!$B$4),1,0)</f>
        <v/>
      </c>
      <c r="L1000" s="3">
        <f>I1000*K1000</f>
        <v/>
      </c>
      <c r="M1000">
        <f>SUM($K$2:K1000)</f>
        <v/>
      </c>
    </row>
    <row r="1001">
      <c r="A1001" t="inlineStr">
        <is>
          <t>150158</t>
        </is>
      </c>
      <c r="B1001" t="inlineStr">
        <is>
          <t>Iu Health West Hospital</t>
        </is>
      </c>
      <c r="C1001" t="inlineStr">
        <is>
          <t>IN</t>
        </is>
      </c>
      <c r="D1001" t="inlineStr">
        <is>
          <t>Metropolitan</t>
        </is>
      </c>
      <c r="E1001" s="5" t="n">
        <v>1359</v>
      </c>
      <c r="F1001" s="4" t="n">
        <v>0.6622516556291391</v>
      </c>
      <c r="G1001" s="4" t="n">
        <v>0.64292045959693</v>
      </c>
      <c r="H1001" s="3" t="n">
        <v>18977655.79819428</v>
      </c>
      <c r="I1001" s="3" t="n">
        <v>-7413.623588457704</v>
      </c>
      <c r="J1001" s="4" t="n">
        <v>-0.0003906501238768</v>
      </c>
      <c r="K1001">
        <f>IF(AND(I1001&gt;0,J1001&gt;=Assumptions!$B$4),1,0)</f>
        <v/>
      </c>
      <c r="L1001" s="3">
        <f>I1001*K1001</f>
        <v/>
      </c>
      <c r="M1001">
        <f>SUM($K$2:K1001)</f>
        <v/>
      </c>
    </row>
    <row r="1002">
      <c r="A1002" t="inlineStr">
        <is>
          <t>210039</t>
        </is>
      </c>
      <c r="B1002" t="inlineStr">
        <is>
          <t>Calverthealth Medical Center</t>
        </is>
      </c>
      <c r="C1002" t="inlineStr">
        <is>
          <t>MD</t>
        </is>
      </c>
      <c r="D1002" t="inlineStr">
        <is>
          <t>Metropolitan</t>
        </is>
      </c>
      <c r="E1002" s="5" t="n">
        <v>1512</v>
      </c>
      <c r="F1002" s="4" t="n">
        <v>0.6759259259259259</v>
      </c>
      <c r="G1002" s="4" t="n">
        <v>0.6942245441239766</v>
      </c>
      <c r="H1002" s="3" t="n">
        <v>20916150.9584942</v>
      </c>
      <c r="I1002" s="3" t="n">
        <v>-7956.127842765301</v>
      </c>
      <c r="J1002" s="4" t="n">
        <v>-0.0003803820243291</v>
      </c>
      <c r="K1002">
        <f>IF(AND(I1002&gt;0,J1002&gt;=Assumptions!$B$4),1,0)</f>
        <v/>
      </c>
      <c r="L1002" s="3">
        <f>I1002*K1002</f>
        <v/>
      </c>
      <c r="M1002">
        <f>SUM($K$2:K1002)</f>
        <v/>
      </c>
    </row>
    <row r="1003">
      <c r="A1003" t="inlineStr">
        <is>
          <t>170200</t>
        </is>
      </c>
      <c r="B1003" t="inlineStr">
        <is>
          <t>Ascension Via Christi Hospital St. Teresa, Inc.</t>
        </is>
      </c>
      <c r="C1003" t="inlineStr">
        <is>
          <t>KS</t>
        </is>
      </c>
      <c r="D1003" t="inlineStr">
        <is>
          <t>Metropolitan</t>
        </is>
      </c>
      <c r="E1003" s="5" t="n">
        <v>668</v>
      </c>
      <c r="F1003" s="4" t="n">
        <v>0.7035928143712575</v>
      </c>
      <c r="G1003" s="4" t="n">
        <v>0.6896879656308502</v>
      </c>
      <c r="H1003" s="3" t="n">
        <v>9318014.779617764</v>
      </c>
      <c r="I1003" s="3" t="n">
        <v>-8611.206877147779</v>
      </c>
      <c r="J1003" s="4" t="n">
        <v>-0.0009241460848488</v>
      </c>
      <c r="K1003">
        <f>IF(AND(I1003&gt;0,J1003&gt;=Assumptions!$B$4),1,0)</f>
        <v/>
      </c>
      <c r="L1003" s="3">
        <f>I1003*K1003</f>
        <v/>
      </c>
      <c r="M1003">
        <f>SUM($K$2:K1003)</f>
        <v/>
      </c>
    </row>
    <row r="1004">
      <c r="A1004" t="inlineStr">
        <is>
          <t>100055</t>
        </is>
      </c>
      <c r="B1004" t="inlineStr">
        <is>
          <t>Adventhealth North Pinellas</t>
        </is>
      </c>
      <c r="C1004" t="inlineStr">
        <is>
          <t>FL</t>
        </is>
      </c>
      <c r="D1004" t="inlineStr">
        <is>
          <t>Metropolitan</t>
        </is>
      </c>
      <c r="E1004" s="5" t="n">
        <v>810</v>
      </c>
      <c r="F1004" s="4" t="n">
        <v>0.6814814814814815</v>
      </c>
      <c r="G1004" s="4" t="n">
        <v>0.6796294459091928</v>
      </c>
      <c r="H1004" s="3" t="n">
        <v>10808944.32856715</v>
      </c>
      <c r="I1004" s="3" t="n">
        <v>-8726.778732886538</v>
      </c>
      <c r="J1004" s="4" t="n">
        <v>-0.0008073664242882</v>
      </c>
      <c r="K1004">
        <f>IF(AND(I1004&gt;0,J1004&gt;=Assumptions!$B$4),1,0)</f>
        <v/>
      </c>
      <c r="L1004" s="3">
        <f>I1004*K1004</f>
        <v/>
      </c>
      <c r="M1004">
        <f>SUM($K$2:K1004)</f>
        <v/>
      </c>
    </row>
    <row r="1005">
      <c r="A1005" t="inlineStr">
        <is>
          <t>450702</t>
        </is>
      </c>
      <c r="B1005" t="inlineStr">
        <is>
          <t>Longview Regional Medical Center</t>
        </is>
      </c>
      <c r="C1005" t="inlineStr">
        <is>
          <t>TX</t>
        </is>
      </c>
      <c r="D1005" t="inlineStr">
        <is>
          <t>Metropolitan</t>
        </is>
      </c>
      <c r="E1005" s="5" t="n">
        <v>1501</v>
      </c>
      <c r="F1005" s="4" t="n">
        <v>0.5189873417721519</v>
      </c>
      <c r="G1005" s="4" t="n">
        <v>0.4934675827216272</v>
      </c>
      <c r="H1005" s="3" t="n">
        <v>29082562.48708998</v>
      </c>
      <c r="I1005" s="3" t="n">
        <v>-9254.117506310344</v>
      </c>
      <c r="J1005" s="4" t="n">
        <v>-0.0003182015859303</v>
      </c>
      <c r="K1005">
        <f>IF(AND(I1005&gt;0,J1005&gt;=Assumptions!$B$4),1,0)</f>
        <v/>
      </c>
      <c r="L1005" s="3">
        <f>I1005*K1005</f>
        <v/>
      </c>
      <c r="M1005">
        <f>SUM($K$2:K1005)</f>
        <v/>
      </c>
    </row>
    <row r="1006">
      <c r="A1006" t="inlineStr">
        <is>
          <t>340119</t>
        </is>
      </c>
      <c r="B1006" t="inlineStr">
        <is>
          <t>Atrium Health Stanly</t>
        </is>
      </c>
      <c r="C1006" t="inlineStr">
        <is>
          <t>NC</t>
        </is>
      </c>
      <c r="D1006" t="inlineStr">
        <is>
          <t>Micropolitan</t>
        </is>
      </c>
      <c r="E1006" s="5" t="n">
        <v>497</v>
      </c>
      <c r="F1006" s="4" t="n">
        <v>0.7022132796780685</v>
      </c>
      <c r="G1006" s="4" t="n">
        <v>0.7092415636606494</v>
      </c>
      <c r="H1006" s="3" t="n">
        <v>6171739.621651322</v>
      </c>
      <c r="I1006" s="3" t="n">
        <v>-9322.524264222942</v>
      </c>
      <c r="J1006" s="4" t="n">
        <v>-0.0015105180768673</v>
      </c>
      <c r="K1006">
        <f>IF(AND(I1006&gt;0,J1006&gt;=Assumptions!$B$4),1,0)</f>
        <v/>
      </c>
      <c r="L1006" s="3">
        <f>I1006*K1006</f>
        <v/>
      </c>
      <c r="M1006">
        <f>SUM($K$2:K1006)</f>
        <v/>
      </c>
    </row>
    <row r="1007">
      <c r="A1007" t="inlineStr">
        <is>
          <t>050136</t>
        </is>
      </c>
      <c r="B1007" t="inlineStr">
        <is>
          <t>Petaluma Valley Hospital</t>
        </is>
      </c>
      <c r="C1007" t="inlineStr">
        <is>
          <t>CA</t>
        </is>
      </c>
      <c r="D1007" t="inlineStr">
        <is>
          <t>Metropolitan</t>
        </is>
      </c>
      <c r="E1007" s="5" t="n">
        <v>360</v>
      </c>
      <c r="F1007" s="4" t="n">
        <v>0.7333333333333333</v>
      </c>
      <c r="G1007" s="4" t="n">
        <v>0.7193551682993555</v>
      </c>
      <c r="H1007" s="3" t="n">
        <v>4901977.710520105</v>
      </c>
      <c r="I1007" s="3" t="n">
        <v>-10215.47650596499</v>
      </c>
      <c r="J1007" s="4" t="n">
        <v>-0.0020839500114497</v>
      </c>
      <c r="K1007">
        <f>IF(AND(I1007&gt;0,J1007&gt;=Assumptions!$B$4),1,0)</f>
        <v/>
      </c>
      <c r="L1007" s="3">
        <f>I1007*K1007</f>
        <v/>
      </c>
      <c r="M1007">
        <f>SUM($K$2:K1007)</f>
        <v/>
      </c>
    </row>
    <row r="1008">
      <c r="A1008" t="inlineStr">
        <is>
          <t>300011</t>
        </is>
      </c>
      <c r="B1008" t="inlineStr">
        <is>
          <t>St Joseph Hospital</t>
        </is>
      </c>
      <c r="C1008" t="inlineStr">
        <is>
          <t>NH</t>
        </is>
      </c>
      <c r="D1008" t="inlineStr">
        <is>
          <t>Metropolitan</t>
        </is>
      </c>
      <c r="E1008" s="5" t="n">
        <v>958</v>
      </c>
      <c r="F1008" s="4" t="n">
        <v>0.6649269311064718</v>
      </c>
      <c r="G1008" s="4" t="n">
        <v>0.6686723505332773</v>
      </c>
      <c r="H1008" s="3" t="n">
        <v>12734348.20367</v>
      </c>
      <c r="I1008" s="3" t="n">
        <v>-10238.10013969243</v>
      </c>
      <c r="J1008" s="4" t="n">
        <v>-0.0008039751996683</v>
      </c>
      <c r="K1008">
        <f>IF(AND(I1008&gt;0,J1008&gt;=Assumptions!$B$4),1,0)</f>
        <v/>
      </c>
      <c r="L1008" s="3">
        <f>I1008*K1008</f>
        <v/>
      </c>
      <c r="M1008">
        <f>SUM($K$2:K1008)</f>
        <v/>
      </c>
    </row>
    <row r="1009">
      <c r="A1009" t="inlineStr">
        <is>
          <t>150046</t>
        </is>
      </c>
      <c r="B1009" t="inlineStr">
        <is>
          <t>Terre Haute Regional Hospital</t>
        </is>
      </c>
      <c r="C1009" t="inlineStr">
        <is>
          <t>IN</t>
        </is>
      </c>
      <c r="D1009" t="inlineStr">
        <is>
          <t>Metropolitan</t>
        </is>
      </c>
      <c r="E1009" s="5" t="n">
        <v>550</v>
      </c>
      <c r="F1009" s="4" t="n">
        <v>0.7036363636363636</v>
      </c>
      <c r="G1009" s="4" t="n">
        <v>0.7037592088512065</v>
      </c>
      <c r="H1009" s="3" t="n">
        <v>8111024.876629836</v>
      </c>
      <c r="I1009" s="3" t="n">
        <v>-12142.21568581928</v>
      </c>
      <c r="J1009" s="4" t="n">
        <v>-0.0014970014111045</v>
      </c>
      <c r="K1009">
        <f>IF(AND(I1009&gt;0,J1009&gt;=Assumptions!$B$4),1,0)</f>
        <v/>
      </c>
      <c r="L1009" s="3">
        <f>I1009*K1009</f>
        <v/>
      </c>
      <c r="M1009">
        <f>SUM($K$2:K1009)</f>
        <v/>
      </c>
    </row>
    <row r="1010">
      <c r="A1010" t="inlineStr">
        <is>
          <t>100092</t>
        </is>
      </c>
      <c r="B1010" t="inlineStr">
        <is>
          <t>Rockledge Regional Medical Center</t>
        </is>
      </c>
      <c r="C1010" t="inlineStr">
        <is>
          <t>FL</t>
        </is>
      </c>
      <c r="D1010" t="inlineStr">
        <is>
          <t>Metropolitan</t>
        </is>
      </c>
      <c r="E1010" s="5" t="n">
        <v>977</v>
      </c>
      <c r="F1010" s="4" t="n">
        <v>0.5609007164790174</v>
      </c>
      <c r="G1010" s="4" t="n">
        <v>0.5682851826512125</v>
      </c>
      <c r="H1010" s="3" t="n">
        <v>14383145.91271336</v>
      </c>
      <c r="I1010" s="3" t="n">
        <v>-12984.32123147696</v>
      </c>
      <c r="J1010" s="4" t="n">
        <v>-0.0009027455683391</v>
      </c>
      <c r="K1010">
        <f>IF(AND(I1010&gt;0,J1010&gt;=Assumptions!$B$4),1,0)</f>
        <v/>
      </c>
      <c r="L1010" s="3">
        <f>I1010*K1010</f>
        <v/>
      </c>
      <c r="M1010">
        <f>SUM($K$2:K1010)</f>
        <v/>
      </c>
    </row>
    <row r="1011">
      <c r="A1011" t="inlineStr">
        <is>
          <t>100259</t>
        </is>
      </c>
      <c r="B1011" t="inlineStr">
        <is>
          <t>Hca Florida South Shore Hospital</t>
        </is>
      </c>
      <c r="C1011" t="inlineStr">
        <is>
          <t>FL</t>
        </is>
      </c>
      <c r="D1011" t="inlineStr">
        <is>
          <t>Metropolitan</t>
        </is>
      </c>
      <c r="E1011" s="5" t="n">
        <v>1204</v>
      </c>
      <c r="F1011" s="4" t="n">
        <v>0.5689368770764119</v>
      </c>
      <c r="G1011" s="4" t="n">
        <v>0.5842026195931088</v>
      </c>
      <c r="H1011" s="3" t="n">
        <v>15200562.45055741</v>
      </c>
      <c r="I1011" s="3" t="n">
        <v>-13204.54756390862</v>
      </c>
      <c r="J1011" s="4" t="n">
        <v>-0.0008686880901189</v>
      </c>
      <c r="K1011">
        <f>IF(AND(I1011&gt;0,J1011&gt;=Assumptions!$B$4),1,0)</f>
        <v/>
      </c>
      <c r="L1011" s="3">
        <f>I1011*K1011</f>
        <v/>
      </c>
      <c r="M1011">
        <f>SUM($K$2:K1011)</f>
        <v/>
      </c>
    </row>
    <row r="1012">
      <c r="A1012" t="inlineStr">
        <is>
          <t>140211</t>
        </is>
      </c>
      <c r="B1012" t="inlineStr">
        <is>
          <t>Northwestern Medicine Delnor Community Hospital</t>
        </is>
      </c>
      <c r="C1012" t="inlineStr">
        <is>
          <t>IL</t>
        </is>
      </c>
      <c r="D1012" t="inlineStr">
        <is>
          <t>Metropolitan</t>
        </is>
      </c>
      <c r="E1012" s="5" t="n">
        <v>2595</v>
      </c>
      <c r="F1012" s="4" t="n">
        <v>0.5599229287090559</v>
      </c>
      <c r="G1012" s="4" t="n">
        <v>0.5774921153159119</v>
      </c>
      <c r="H1012" s="3" t="n">
        <v>36797800.61718905</v>
      </c>
      <c r="I1012" s="3" t="n">
        <v>-13511.55498216301</v>
      </c>
      <c r="J1012" s="4" t="n">
        <v>-0.0003671837652126</v>
      </c>
      <c r="K1012">
        <f>IF(AND(I1012&gt;0,J1012&gt;=Assumptions!$B$4),1,0)</f>
        <v/>
      </c>
      <c r="L1012" s="3">
        <f>I1012*K1012</f>
        <v/>
      </c>
      <c r="M1012">
        <f>SUM($K$2:K1012)</f>
        <v/>
      </c>
    </row>
    <row r="1013">
      <c r="A1013" t="inlineStr">
        <is>
          <t>380089</t>
        </is>
      </c>
      <c r="B1013" t="inlineStr">
        <is>
          <t>Legacy Meridian Park Medical Center</t>
        </is>
      </c>
      <c r="C1013" t="inlineStr">
        <is>
          <t>OR</t>
        </is>
      </c>
      <c r="D1013" t="inlineStr">
        <is>
          <t>Metropolitan</t>
        </is>
      </c>
      <c r="E1013" s="5" t="n">
        <v>774</v>
      </c>
      <c r="F1013" s="4" t="n">
        <v>0.5917312661498708</v>
      </c>
      <c r="G1013" s="4" t="n">
        <v>0.5711672576117828</v>
      </c>
      <c r="H1013" s="3" t="n">
        <v>10791176.2165443</v>
      </c>
      <c r="I1013" s="3" t="n">
        <v>-13567.48721833527</v>
      </c>
      <c r="J1013" s="4" t="n">
        <v>-0.0012572760323878</v>
      </c>
      <c r="K1013">
        <f>IF(AND(I1013&gt;0,J1013&gt;=Assumptions!$B$4),1,0)</f>
        <v/>
      </c>
      <c r="L1013" s="3">
        <f>I1013*K1013</f>
        <v/>
      </c>
      <c r="M1013">
        <f>SUM($K$2:K1013)</f>
        <v/>
      </c>
    </row>
    <row r="1014">
      <c r="A1014" t="inlineStr">
        <is>
          <t>100244</t>
        </is>
      </c>
      <c r="B1014" t="inlineStr">
        <is>
          <t>Cape Coral Hospital</t>
        </is>
      </c>
      <c r="C1014" t="inlineStr">
        <is>
          <t>FL</t>
        </is>
      </c>
      <c r="D1014" t="inlineStr">
        <is>
          <t>Metropolitan</t>
        </is>
      </c>
      <c r="E1014" s="5" t="n">
        <v>3251</v>
      </c>
      <c r="F1014" s="4" t="n">
        <v>0.5629037219317133</v>
      </c>
      <c r="G1014" s="4" t="n">
        <v>0.5780141263668407</v>
      </c>
      <c r="H1014" s="3" t="n">
        <v>45116864.13525435</v>
      </c>
      <c r="I1014" s="3" t="n">
        <v>-13791.56790647656</v>
      </c>
      <c r="J1014" s="4" t="n">
        <v>-0.0003056854276292</v>
      </c>
      <c r="K1014">
        <f>IF(AND(I1014&gt;0,J1014&gt;=Assumptions!$B$4),1,0)</f>
        <v/>
      </c>
      <c r="L1014" s="3">
        <f>I1014*K1014</f>
        <v/>
      </c>
      <c r="M1014">
        <f>SUM($K$2:K1014)</f>
        <v/>
      </c>
    </row>
    <row r="1015">
      <c r="A1015" t="inlineStr">
        <is>
          <t>490098</t>
        </is>
      </c>
      <c r="B1015" t="inlineStr">
        <is>
          <t>Community Memorial Hospital</t>
        </is>
      </c>
      <c r="C1015" t="inlineStr">
        <is>
          <t>VA</t>
        </is>
      </c>
      <c r="D1015" t="inlineStr">
        <is>
          <t>Small town</t>
        </is>
      </c>
      <c r="E1015" s="5" t="n">
        <v>607</v>
      </c>
      <c r="F1015" s="4" t="n">
        <v>0.700164744645799</v>
      </c>
      <c r="G1015" s="4" t="n">
        <v>0.6903315757089378</v>
      </c>
      <c r="H1015" s="3" t="n">
        <v>7898839.571038591</v>
      </c>
      <c r="I1015" s="3" t="n">
        <v>-14234.72717176378</v>
      </c>
      <c r="J1015" s="4" t="n">
        <v>-0.0018021289132084</v>
      </c>
      <c r="K1015">
        <f>IF(AND(I1015&gt;0,J1015&gt;=Assumptions!$B$4),1,0)</f>
        <v/>
      </c>
      <c r="L1015" s="3">
        <f>I1015*K1015</f>
        <v/>
      </c>
      <c r="M1015">
        <f>SUM($K$2:K1015)</f>
        <v/>
      </c>
    </row>
    <row r="1016">
      <c r="A1016" t="inlineStr">
        <is>
          <t>520102</t>
        </is>
      </c>
      <c r="B1016" t="inlineStr">
        <is>
          <t>Aurora Lakeland Medical Center</t>
        </is>
      </c>
      <c r="C1016" t="inlineStr">
        <is>
          <t>WI</t>
        </is>
      </c>
      <c r="D1016" t="inlineStr">
        <is>
          <t>Micropolitan</t>
        </is>
      </c>
      <c r="E1016" s="5" t="n">
        <v>371</v>
      </c>
      <c r="F1016" s="4" t="n">
        <v>0.7142857142857143</v>
      </c>
      <c r="G1016" s="4" t="n">
        <v>0.7326903148335844</v>
      </c>
      <c r="H1016" s="3" t="n">
        <v>5274791.650718001</v>
      </c>
      <c r="I1016" s="3" t="n">
        <v>-15451.42365016881</v>
      </c>
      <c r="J1016" s="4" t="n">
        <v>-0.0029292955387281</v>
      </c>
      <c r="K1016">
        <f>IF(AND(I1016&gt;0,J1016&gt;=Assumptions!$B$4),1,0)</f>
        <v/>
      </c>
      <c r="L1016" s="3">
        <f>I1016*K1016</f>
        <v/>
      </c>
      <c r="M1016">
        <f>SUM($K$2:K1016)</f>
        <v/>
      </c>
    </row>
    <row r="1017">
      <c r="A1017" t="inlineStr">
        <is>
          <t>250093</t>
        </is>
      </c>
      <c r="B1017" t="inlineStr">
        <is>
          <t>Bolivar Medical Center</t>
        </is>
      </c>
      <c r="C1017" t="inlineStr">
        <is>
          <t>MS</t>
        </is>
      </c>
      <c r="D1017" t="inlineStr">
        <is>
          <t>Micropolitan</t>
        </is>
      </c>
      <c r="E1017" s="5" t="n">
        <v>400</v>
      </c>
      <c r="F1017" s="4" t="n">
        <v>0.6775</v>
      </c>
      <c r="G1017" s="4" t="n">
        <v>0.6673986538175223</v>
      </c>
      <c r="H1017" s="3" t="n">
        <v>4653127.62474919</v>
      </c>
      <c r="I1017" s="3" t="n">
        <v>-15988.68797027972</v>
      </c>
      <c r="J1017" s="4" t="n">
        <v>-0.0034361163629466</v>
      </c>
      <c r="K1017">
        <f>IF(AND(I1017&gt;0,J1017&gt;=Assumptions!$B$4),1,0)</f>
        <v/>
      </c>
      <c r="L1017" s="3">
        <f>I1017*K1017</f>
        <v/>
      </c>
      <c r="M1017">
        <f>SUM($K$2:K1017)</f>
        <v/>
      </c>
    </row>
    <row r="1018">
      <c r="A1018" t="inlineStr">
        <is>
          <t>330049</t>
        </is>
      </c>
      <c r="B1018" t="inlineStr">
        <is>
          <t>Northern Dutchess Hospital</t>
        </is>
      </c>
      <c r="C1018" t="inlineStr">
        <is>
          <t>NY</t>
        </is>
      </c>
      <c r="D1018" t="inlineStr">
        <is>
          <t>Small town</t>
        </is>
      </c>
      <c r="E1018" s="5" t="n">
        <v>916</v>
      </c>
      <c r="F1018" s="4" t="n">
        <v>0.6157205240174672</v>
      </c>
      <c r="G1018" s="4" t="n">
        <v>0.6190892460634606</v>
      </c>
      <c r="H1018" s="3" t="n">
        <v>11793308.28463187</v>
      </c>
      <c r="I1018" s="3" t="n">
        <v>-16201.06990024075</v>
      </c>
      <c r="J1018" s="4" t="n">
        <v>-0.0013737510721527</v>
      </c>
      <c r="K1018">
        <f>IF(AND(I1018&gt;0,J1018&gt;=Assumptions!$B$4),1,0)</f>
        <v/>
      </c>
      <c r="L1018" s="3">
        <f>I1018*K1018</f>
        <v/>
      </c>
      <c r="M1018">
        <f>SUM($K$2:K1018)</f>
        <v/>
      </c>
    </row>
    <row r="1019">
      <c r="A1019" t="inlineStr">
        <is>
          <t>310005</t>
        </is>
      </c>
      <c r="B1019" t="inlineStr">
        <is>
          <t>Hunterdon Medical Center</t>
        </is>
      </c>
      <c r="C1019" t="inlineStr">
        <is>
          <t>NJ</t>
        </is>
      </c>
      <c r="D1019" t="inlineStr">
        <is>
          <t>Metropolitan</t>
        </is>
      </c>
      <c r="E1019" s="5" t="n">
        <v>1807</v>
      </c>
      <c r="F1019" s="4" t="n">
        <v>0.6563364692861096</v>
      </c>
      <c r="G1019" s="4" t="n">
        <v>0.6378679529031906</v>
      </c>
      <c r="H1019" s="3" t="n">
        <v>24921963.49428554</v>
      </c>
      <c r="I1019" s="3" t="n">
        <v>-16682.40212314203</v>
      </c>
      <c r="J1019" s="4" t="n">
        <v>-0.0006693855452828</v>
      </c>
      <c r="K1019">
        <f>IF(AND(I1019&gt;0,J1019&gt;=Assumptions!$B$4),1,0)</f>
        <v/>
      </c>
      <c r="L1019" s="3">
        <f>I1019*K1019</f>
        <v/>
      </c>
      <c r="M1019">
        <f>SUM($K$2:K1019)</f>
        <v/>
      </c>
    </row>
    <row r="1020">
      <c r="A1020" t="inlineStr">
        <is>
          <t>100307</t>
        </is>
      </c>
      <c r="B1020" t="inlineStr">
        <is>
          <t>Ascension St Vincent's Southside</t>
        </is>
      </c>
      <c r="C1020" t="inlineStr">
        <is>
          <t>FL</t>
        </is>
      </c>
      <c r="D1020" t="inlineStr">
        <is>
          <t>Metropolitan</t>
        </is>
      </c>
      <c r="E1020" s="5" t="n">
        <v>863</v>
      </c>
      <c r="F1020" s="4" t="n">
        <v>0.6523754345307068</v>
      </c>
      <c r="G1020" s="4" t="n">
        <v>0.5933429031374143</v>
      </c>
      <c r="H1020" s="3" t="n">
        <v>15773039.81919168</v>
      </c>
      <c r="I1020" s="3" t="n">
        <v>-17401.65793258697</v>
      </c>
      <c r="J1020" s="4" t="n">
        <v>-0.0011032532810456</v>
      </c>
      <c r="K1020">
        <f>IF(AND(I1020&gt;0,J1020&gt;=Assumptions!$B$4),1,0)</f>
        <v/>
      </c>
      <c r="L1020" s="3">
        <f>I1020*K1020</f>
        <v/>
      </c>
      <c r="M1020">
        <f>SUM($K$2:K1020)</f>
        <v/>
      </c>
    </row>
    <row r="1021">
      <c r="A1021" t="inlineStr">
        <is>
          <t>050042</t>
        </is>
      </c>
      <c r="B1021" t="inlineStr">
        <is>
          <t>St Elizabeth Community Hospital</t>
        </is>
      </c>
      <c r="C1021" t="inlineStr">
        <is>
          <t>CA</t>
        </is>
      </c>
      <c r="D1021" t="inlineStr">
        <is>
          <t>Micropolitan</t>
        </is>
      </c>
      <c r="E1021" s="5" t="n">
        <v>587</v>
      </c>
      <c r="F1021" s="4" t="n">
        <v>0.7086882453151618</v>
      </c>
      <c r="G1021" s="4" t="n">
        <v>0.6942482277323686</v>
      </c>
      <c r="H1021" s="3" t="n">
        <v>8122461.467099258</v>
      </c>
      <c r="I1021" s="3" t="n">
        <v>-18022.11894108169</v>
      </c>
      <c r="J1021" s="4" t="n">
        <v>-0.0022188001770253</v>
      </c>
      <c r="K1021">
        <f>IF(AND(I1021&gt;0,J1021&gt;=Assumptions!$B$4),1,0)</f>
        <v/>
      </c>
      <c r="L1021" s="3">
        <f>I1021*K1021</f>
        <v/>
      </c>
      <c r="M1021">
        <f>SUM($K$2:K1021)</f>
        <v/>
      </c>
    </row>
    <row r="1022">
      <c r="A1022" t="inlineStr">
        <is>
          <t>340166</t>
        </is>
      </c>
      <c r="B1022" t="inlineStr">
        <is>
          <t>Atrium Health University City</t>
        </is>
      </c>
      <c r="C1022" t="inlineStr">
        <is>
          <t>NC</t>
        </is>
      </c>
      <c r="D1022" t="inlineStr">
        <is>
          <t>Metropolitan</t>
        </is>
      </c>
      <c r="E1022" s="5" t="n">
        <v>495</v>
      </c>
      <c r="F1022" s="4" t="n">
        <v>0.6545454545454545</v>
      </c>
      <c r="G1022" s="4" t="n">
        <v>0.6475697263680629</v>
      </c>
      <c r="H1022" s="3" t="n">
        <v>6101757.26681112</v>
      </c>
      <c r="I1022" s="3" t="n">
        <v>-18273.82507868018</v>
      </c>
      <c r="J1022" s="4" t="n">
        <v>-0.002994846284377</v>
      </c>
      <c r="K1022">
        <f>IF(AND(I1022&gt;0,J1022&gt;=Assumptions!$B$4),1,0)</f>
        <v/>
      </c>
      <c r="L1022" s="3">
        <f>I1022*K1022</f>
        <v/>
      </c>
      <c r="M1022">
        <f>SUM($K$2:K1022)</f>
        <v/>
      </c>
    </row>
    <row r="1023">
      <c r="A1023" t="inlineStr">
        <is>
          <t>390211</t>
        </is>
      </c>
      <c r="B1023" t="inlineStr">
        <is>
          <t>Sharon Regional Health System</t>
        </is>
      </c>
      <c r="C1023" t="inlineStr">
        <is>
          <t>PA</t>
        </is>
      </c>
      <c r="D1023" t="inlineStr">
        <is>
          <t>Metropolitan</t>
        </is>
      </c>
      <c r="E1023" s="5" t="n">
        <v>454</v>
      </c>
      <c r="F1023" s="4" t="n">
        <v>0.6409691629955947</v>
      </c>
      <c r="G1023" s="4" t="n">
        <v>0.6107160120537298</v>
      </c>
      <c r="H1023" s="3" t="n">
        <v>6888741.049814104</v>
      </c>
      <c r="I1023" s="3" t="n">
        <v>-18733.571377635</v>
      </c>
      <c r="J1023" s="4" t="n">
        <v>-0.0027194477542657</v>
      </c>
      <c r="K1023">
        <f>IF(AND(I1023&gt;0,J1023&gt;=Assumptions!$B$4),1,0)</f>
        <v/>
      </c>
      <c r="L1023" s="3">
        <f>I1023*K1023</f>
        <v/>
      </c>
      <c r="M1023">
        <f>SUM($K$2:K1023)</f>
        <v/>
      </c>
    </row>
    <row r="1024">
      <c r="A1024" t="inlineStr">
        <is>
          <t>360051</t>
        </is>
      </c>
      <c r="B1024" t="inlineStr">
        <is>
          <t>Miami Valley Hospital</t>
        </is>
      </c>
      <c r="C1024" t="inlineStr">
        <is>
          <t>OH</t>
        </is>
      </c>
      <c r="D1024" t="inlineStr">
        <is>
          <t>Metropolitan</t>
        </is>
      </c>
      <c r="E1024" s="5" t="n">
        <v>7210</v>
      </c>
      <c r="F1024" s="4" t="n">
        <v>0.4988904299583911</v>
      </c>
      <c r="G1024" s="4" t="n">
        <v>0.5118573292962512</v>
      </c>
      <c r="H1024" s="3" t="n">
        <v>118824123.6323186</v>
      </c>
      <c r="I1024" s="3" t="n">
        <v>-19221.260314852</v>
      </c>
      <c r="J1024" s="4" t="n">
        <v>-0.0001617622729062</v>
      </c>
      <c r="K1024">
        <f>IF(AND(I1024&gt;0,J1024&gt;=Assumptions!$B$4),1,0)</f>
        <v/>
      </c>
      <c r="L1024" s="3">
        <f>I1024*K1024</f>
        <v/>
      </c>
      <c r="M1024">
        <f>SUM($K$2:K1024)</f>
        <v/>
      </c>
    </row>
    <row r="1025">
      <c r="A1025" t="inlineStr">
        <is>
          <t>140184</t>
        </is>
      </c>
      <c r="B1025" t="inlineStr">
        <is>
          <t>Heartland Regional Medical Center</t>
        </is>
      </c>
      <c r="C1025" t="inlineStr">
        <is>
          <t>IL</t>
        </is>
      </c>
      <c r="D1025" t="inlineStr">
        <is>
          <t>Metropolitan</t>
        </is>
      </c>
      <c r="E1025" s="5" t="n">
        <v>383</v>
      </c>
      <c r="F1025" s="4" t="n">
        <v>0.7336814621409922</v>
      </c>
      <c r="G1025" s="4" t="n">
        <v>0.7120454430079567</v>
      </c>
      <c r="H1025" s="3" t="n">
        <v>5052739.143166425</v>
      </c>
      <c r="I1025" s="3" t="n">
        <v>-19674.5530570792</v>
      </c>
      <c r="J1025" s="4" t="n">
        <v>-0.0038938390642406</v>
      </c>
      <c r="K1025">
        <f>IF(AND(I1025&gt;0,J1025&gt;=Assumptions!$B$4),1,0)</f>
        <v/>
      </c>
      <c r="L1025" s="3">
        <f>I1025*K1025</f>
        <v/>
      </c>
      <c r="M1025">
        <f>SUM($K$2:K1025)</f>
        <v/>
      </c>
    </row>
    <row r="1026">
      <c r="A1026" t="inlineStr">
        <is>
          <t>390265</t>
        </is>
      </c>
      <c r="B1026" t="inlineStr">
        <is>
          <t>Jefferson Hospital</t>
        </is>
      </c>
      <c r="C1026" t="inlineStr">
        <is>
          <t>PA</t>
        </is>
      </c>
      <c r="D1026" t="inlineStr">
        <is>
          <t>Metropolitan</t>
        </is>
      </c>
      <c r="E1026" s="5" t="n">
        <v>959</v>
      </c>
      <c r="F1026" s="4" t="n">
        <v>0.6110531803962461</v>
      </c>
      <c r="G1026" s="4" t="n">
        <v>0.6264140629075921</v>
      </c>
      <c r="H1026" s="3" t="n">
        <v>14200939.39218306</v>
      </c>
      <c r="I1026" s="3" t="n">
        <v>-19911.8960548602</v>
      </c>
      <c r="J1026" s="4" t="n">
        <v>-0.0014021534424561</v>
      </c>
      <c r="K1026">
        <f>IF(AND(I1026&gt;0,J1026&gt;=Assumptions!$B$4),1,0)</f>
        <v/>
      </c>
      <c r="L1026" s="3">
        <f>I1026*K1026</f>
        <v/>
      </c>
      <c r="M1026">
        <f>SUM($K$2:K1026)</f>
        <v/>
      </c>
    </row>
    <row r="1027">
      <c r="A1027" t="inlineStr">
        <is>
          <t>520028</t>
        </is>
      </c>
      <c r="B1027" t="inlineStr">
        <is>
          <t>Ssm Health Monroe Hospital</t>
        </is>
      </c>
      <c r="C1027" t="inlineStr">
        <is>
          <t>WI</t>
        </is>
      </c>
      <c r="D1027" t="inlineStr">
        <is>
          <t>Micropolitan</t>
        </is>
      </c>
      <c r="E1027" s="5" t="n">
        <v>457</v>
      </c>
      <c r="F1027" s="4" t="n">
        <v>0.6717724288840262</v>
      </c>
      <c r="G1027" s="4" t="n">
        <v>0.6581059434546362</v>
      </c>
      <c r="H1027" s="3" t="n">
        <v>5646871.165988467</v>
      </c>
      <c r="I1027" s="3" t="n">
        <v>-20248.20075435471</v>
      </c>
      <c r="J1027" s="4" t="n">
        <v>-0.0035857380413265</v>
      </c>
      <c r="K1027">
        <f>IF(AND(I1027&gt;0,J1027&gt;=Assumptions!$B$4),1,0)</f>
        <v/>
      </c>
      <c r="L1027" s="3">
        <f>I1027*K1027</f>
        <v/>
      </c>
      <c r="M1027">
        <f>SUM($K$2:K1027)</f>
        <v/>
      </c>
    </row>
    <row r="1028">
      <c r="A1028" t="inlineStr">
        <is>
          <t>360079</t>
        </is>
      </c>
      <c r="B1028" t="inlineStr">
        <is>
          <t>Kettering Health Main Campus</t>
        </is>
      </c>
      <c r="C1028" t="inlineStr">
        <is>
          <t>OH</t>
        </is>
      </c>
      <c r="D1028" t="inlineStr">
        <is>
          <t>Metropolitan</t>
        </is>
      </c>
      <c r="E1028" s="5" t="n">
        <v>3388</v>
      </c>
      <c r="F1028" s="4" t="n">
        <v>0.5256788665879575</v>
      </c>
      <c r="G1028" s="4" t="n">
        <v>0.5290601638356184</v>
      </c>
      <c r="H1028" s="3" t="n">
        <v>62297163.21708244</v>
      </c>
      <c r="I1028" s="3" t="n">
        <v>-20402.7178799659</v>
      </c>
      <c r="J1028" s="4" t="n">
        <v>-0.0003275063714999</v>
      </c>
      <c r="K1028">
        <f>IF(AND(I1028&gt;0,J1028&gt;=Assumptions!$B$4),1,0)</f>
        <v/>
      </c>
      <c r="L1028" s="3">
        <f>I1028*K1028</f>
        <v/>
      </c>
      <c r="M1028">
        <f>SUM($K$2:K1028)</f>
        <v/>
      </c>
    </row>
    <row r="1029">
      <c r="A1029" t="inlineStr">
        <is>
          <t>100126</t>
        </is>
      </c>
      <c r="B1029" t="inlineStr">
        <is>
          <t>Hca Florida Pasadena Hospital</t>
        </is>
      </c>
      <c r="C1029" t="inlineStr">
        <is>
          <t>FL</t>
        </is>
      </c>
      <c r="D1029" t="inlineStr">
        <is>
          <t>Metropolitan</t>
        </is>
      </c>
      <c r="E1029" s="5" t="n">
        <v>531</v>
      </c>
      <c r="F1029" s="4" t="n">
        <v>0.5969868173258004</v>
      </c>
      <c r="G1029" s="4" t="n">
        <v>0.6076890537129799</v>
      </c>
      <c r="H1029" s="3" t="n">
        <v>7078297.686311726</v>
      </c>
      <c r="I1029" s="3" t="n">
        <v>-20863.35387399327</v>
      </c>
      <c r="J1029" s="4" t="n">
        <v>-0.0029475100933293</v>
      </c>
      <c r="K1029">
        <f>IF(AND(I1029&gt;0,J1029&gt;=Assumptions!$B$4),1,0)</f>
        <v/>
      </c>
      <c r="L1029" s="3">
        <f>I1029*K1029</f>
        <v/>
      </c>
      <c r="M1029">
        <f>SUM($K$2:K1029)</f>
        <v/>
      </c>
    </row>
    <row r="1030">
      <c r="A1030" t="inlineStr">
        <is>
          <t>140093</t>
        </is>
      </c>
      <c r="B1030" t="inlineStr">
        <is>
          <t>Osf Sacred Heart Medical Center</t>
        </is>
      </c>
      <c r="C1030" t="inlineStr">
        <is>
          <t>IL</t>
        </is>
      </c>
      <c r="D1030" t="inlineStr">
        <is>
          <t>Metropolitan</t>
        </is>
      </c>
      <c r="E1030" s="5" t="n">
        <v>512</v>
      </c>
      <c r="F1030" s="4" t="n">
        <v>0.720703125</v>
      </c>
      <c r="G1030" s="4" t="n">
        <v>0.708920324970064</v>
      </c>
      <c r="H1030" s="3" t="n">
        <v>6034234.741185353</v>
      </c>
      <c r="I1030" s="3" t="n">
        <v>-21100.59319434408</v>
      </c>
      <c r="J1030" s="4" t="n">
        <v>-0.0034968134484935</v>
      </c>
      <c r="K1030">
        <f>IF(AND(I1030&gt;0,J1030&gt;=Assumptions!$B$4),1,0)</f>
        <v/>
      </c>
      <c r="L1030" s="3">
        <f>I1030*K1030</f>
        <v/>
      </c>
      <c r="M1030">
        <f>SUM($K$2:K1030)</f>
        <v/>
      </c>
    </row>
    <row r="1031">
      <c r="A1031" t="inlineStr">
        <is>
          <t>010108</t>
        </is>
      </c>
      <c r="B1031" t="inlineStr">
        <is>
          <t>Prattville Baptist Hospital</t>
        </is>
      </c>
      <c r="C1031" t="inlineStr">
        <is>
          <t>AL</t>
        </is>
      </c>
      <c r="D1031" t="inlineStr">
        <is>
          <t>Metropolitan</t>
        </is>
      </c>
      <c r="E1031" s="5" t="n">
        <v>361</v>
      </c>
      <c r="F1031" s="4" t="n">
        <v>0.6869806094182825</v>
      </c>
      <c r="G1031" s="4" t="n">
        <v>0.6957083967335247</v>
      </c>
      <c r="H1031" s="3" t="n">
        <v>4081017.777974393</v>
      </c>
      <c r="I1031" s="3" t="n">
        <v>-21630.22649847437</v>
      </c>
      <c r="J1031" s="4" t="n">
        <v>-0.0053002039381486</v>
      </c>
      <c r="K1031">
        <f>IF(AND(I1031&gt;0,J1031&gt;=Assumptions!$B$4),1,0)</f>
        <v/>
      </c>
      <c r="L1031" s="3">
        <f>I1031*K1031</f>
        <v/>
      </c>
      <c r="M1031">
        <f>SUM($K$2:K1031)</f>
        <v/>
      </c>
    </row>
    <row r="1032">
      <c r="A1032" t="inlineStr">
        <is>
          <t>510055</t>
        </is>
      </c>
      <c r="B1032" t="inlineStr">
        <is>
          <t>Cabell Huntington Hospital, Inc</t>
        </is>
      </c>
      <c r="C1032" t="inlineStr">
        <is>
          <t>WV</t>
        </is>
      </c>
      <c r="D1032" t="inlineStr">
        <is>
          <t>Metropolitan</t>
        </is>
      </c>
      <c r="E1032" s="5" t="n">
        <v>1010</v>
      </c>
      <c r="F1032" s="4" t="n">
        <v>0.5059405940594059</v>
      </c>
      <c r="G1032" s="4" t="n">
        <v>0.5580084549847237</v>
      </c>
      <c r="H1032" s="3" t="n">
        <v>15904019.81510159</v>
      </c>
      <c r="I1032" s="3" t="n">
        <v>-22599.29023968428</v>
      </c>
      <c r="J1032" s="4" t="n">
        <v>-0.0014209797587289</v>
      </c>
      <c r="K1032">
        <f>IF(AND(I1032&gt;0,J1032&gt;=Assumptions!$B$4),1,0)</f>
        <v/>
      </c>
      <c r="L1032" s="3">
        <f>I1032*K1032</f>
        <v/>
      </c>
      <c r="M1032">
        <f>SUM($K$2:K1032)</f>
        <v/>
      </c>
    </row>
    <row r="1033">
      <c r="A1033" t="inlineStr">
        <is>
          <t>330277</t>
        </is>
      </c>
      <c r="B1033" t="inlineStr">
        <is>
          <t>Corning Hospital</t>
        </is>
      </c>
      <c r="C1033" t="inlineStr">
        <is>
          <t>NY</t>
        </is>
      </c>
      <c r="D1033" t="inlineStr">
        <is>
          <t>Micropolitan</t>
        </is>
      </c>
      <c r="E1033" s="5" t="n">
        <v>465</v>
      </c>
      <c r="F1033" s="4" t="n">
        <v>0.6967741935483871</v>
      </c>
      <c r="G1033" s="4" t="n">
        <v>0.6822604498464977</v>
      </c>
      <c r="H1033" s="3" t="n">
        <v>6140931.953098473</v>
      </c>
      <c r="I1033" s="3" t="n">
        <v>-24697.61350206565</v>
      </c>
      <c r="J1033" s="4" t="n">
        <v>-0.0040218021776978</v>
      </c>
      <c r="K1033">
        <f>IF(AND(I1033&gt;0,J1033&gt;=Assumptions!$B$4),1,0)</f>
        <v/>
      </c>
      <c r="L1033" s="3">
        <f>I1033*K1033</f>
        <v/>
      </c>
      <c r="M1033">
        <f>SUM($K$2:K1033)</f>
        <v/>
      </c>
    </row>
    <row r="1034">
      <c r="A1034" t="inlineStr">
        <is>
          <t>130013</t>
        </is>
      </c>
      <c r="B1034" t="inlineStr">
        <is>
          <t>Saint Alphonsus Medical Center - Nampa</t>
        </is>
      </c>
      <c r="C1034" t="inlineStr">
        <is>
          <t>ID</t>
        </is>
      </c>
      <c r="D1034" t="inlineStr">
        <is>
          <t>Metropolitan</t>
        </is>
      </c>
      <c r="E1034" s="5" t="n">
        <v>471</v>
      </c>
      <c r="F1034" s="4" t="n">
        <v>0.6709129511677282</v>
      </c>
      <c r="G1034" s="4" t="n">
        <v>0.6750737413740059</v>
      </c>
      <c r="H1034" s="3" t="n">
        <v>7003907.52701953</v>
      </c>
      <c r="I1034" s="3" t="n">
        <v>-25063.91934361961</v>
      </c>
      <c r="J1034" s="4" t="n">
        <v>-0.0035785622878269</v>
      </c>
      <c r="K1034">
        <f>IF(AND(I1034&gt;0,J1034&gt;=Assumptions!$B$4),1,0)</f>
        <v/>
      </c>
      <c r="L1034" s="3">
        <f>I1034*K1034</f>
        <v/>
      </c>
      <c r="M1034">
        <f>SUM($K$2:K1034)</f>
        <v/>
      </c>
    </row>
    <row r="1035">
      <c r="A1035" t="inlineStr">
        <is>
          <t>260017</t>
        </is>
      </c>
      <c r="B1035" t="inlineStr">
        <is>
          <t>Phelps Health</t>
        </is>
      </c>
      <c r="C1035" t="inlineStr">
        <is>
          <t>MO</t>
        </is>
      </c>
      <c r="D1035" t="inlineStr">
        <is>
          <t>Micropolitan</t>
        </is>
      </c>
      <c r="E1035" s="5" t="n">
        <v>973</v>
      </c>
      <c r="F1035" s="4" t="n">
        <v>0.6228160328879754</v>
      </c>
      <c r="G1035" s="4" t="n">
        <v>0.6366558735567204</v>
      </c>
      <c r="H1035" s="3" t="n">
        <v>12103970.19387814</v>
      </c>
      <c r="I1035" s="3" t="n">
        <v>-25294.75387169234</v>
      </c>
      <c r="J1035" s="4" t="n">
        <v>-0.0020897898347837</v>
      </c>
      <c r="K1035">
        <f>IF(AND(I1035&gt;0,J1035&gt;=Assumptions!$B$4),1,0)</f>
        <v/>
      </c>
      <c r="L1035" s="3">
        <f>I1035*K1035</f>
        <v/>
      </c>
      <c r="M1035">
        <f>SUM($K$2:K1035)</f>
        <v/>
      </c>
    </row>
    <row r="1036">
      <c r="A1036" t="inlineStr">
        <is>
          <t>040014</t>
        </is>
      </c>
      <c r="B1036" t="inlineStr">
        <is>
          <t>Unity Health White County Medical Center</t>
        </is>
      </c>
      <c r="C1036" t="inlineStr">
        <is>
          <t>AR</t>
        </is>
      </c>
      <c r="D1036" t="inlineStr">
        <is>
          <t>Micropolitan</t>
        </is>
      </c>
      <c r="E1036" s="5" t="n">
        <v>2039</v>
      </c>
      <c r="F1036" s="4" t="n">
        <v>0.5394801373222168</v>
      </c>
      <c r="G1036" s="4" t="n">
        <v>0.5687965869497916</v>
      </c>
      <c r="H1036" s="3" t="n">
        <v>26567270.34608732</v>
      </c>
      <c r="I1036" s="3" t="n">
        <v>-25568.24694729969</v>
      </c>
      <c r="J1036" s="4" t="n">
        <v>-0.0009623964605406</v>
      </c>
      <c r="K1036">
        <f>IF(AND(I1036&gt;0,J1036&gt;=Assumptions!$B$4),1,0)</f>
        <v/>
      </c>
      <c r="L1036" s="3">
        <f>I1036*K1036</f>
        <v/>
      </c>
      <c r="M1036">
        <f>SUM($K$2:K1036)</f>
        <v/>
      </c>
    </row>
    <row r="1037">
      <c r="A1037" t="inlineStr">
        <is>
          <t>230193</t>
        </is>
      </c>
      <c r="B1037" t="inlineStr">
        <is>
          <t>Mclaren Lapeer Region</t>
        </is>
      </c>
      <c r="C1037" t="inlineStr">
        <is>
          <t>MI</t>
        </is>
      </c>
      <c r="D1037" t="inlineStr">
        <is>
          <t>Micropolitan</t>
        </is>
      </c>
      <c r="E1037" s="5" t="n">
        <v>718</v>
      </c>
      <c r="F1037" s="4" t="n">
        <v>0.713091922005571</v>
      </c>
      <c r="G1037" s="4" t="n">
        <v>0.667227976117723</v>
      </c>
      <c r="H1037" s="3" t="n">
        <v>10232561.10116079</v>
      </c>
      <c r="I1037" s="3" t="n">
        <v>-26595.41897150129</v>
      </c>
      <c r="J1037" s="4" t="n">
        <v>-0.0025990970108631</v>
      </c>
      <c r="K1037">
        <f>IF(AND(I1037&gt;0,J1037&gt;=Assumptions!$B$4),1,0)</f>
        <v/>
      </c>
      <c r="L1037" s="3">
        <f>I1037*K1037</f>
        <v/>
      </c>
      <c r="M1037">
        <f>SUM($K$2:K1037)</f>
        <v/>
      </c>
    </row>
    <row r="1038">
      <c r="A1038" t="inlineStr">
        <is>
          <t>370089</t>
        </is>
      </c>
      <c r="B1038" t="inlineStr">
        <is>
          <t>Northeastern Health System</t>
        </is>
      </c>
      <c r="C1038" t="inlineStr">
        <is>
          <t>OK</t>
        </is>
      </c>
      <c r="D1038" t="inlineStr">
        <is>
          <t>Micropolitan</t>
        </is>
      </c>
      <c r="E1038" s="5" t="n">
        <v>436</v>
      </c>
      <c r="F1038" s="4" t="n">
        <v>0.5779816513761468</v>
      </c>
      <c r="G1038" s="4" t="n">
        <v>0.6870864038203919</v>
      </c>
      <c r="H1038" s="3" t="n">
        <v>7755682.324080626</v>
      </c>
      <c r="I1038" s="3" t="n">
        <v>-26657.01890514139</v>
      </c>
      <c r="J1038" s="4" t="n">
        <v>-0.0034370952536792</v>
      </c>
      <c r="K1038">
        <f>IF(AND(I1038&gt;0,J1038&gt;=Assumptions!$B$4),1,0)</f>
        <v/>
      </c>
      <c r="L1038" s="3">
        <f>I1038*K1038</f>
        <v/>
      </c>
      <c r="M1038">
        <f>SUM($K$2:K1038)</f>
        <v/>
      </c>
    </row>
    <row r="1039">
      <c r="A1039" t="inlineStr">
        <is>
          <t>250031</t>
        </is>
      </c>
      <c r="B1039" t="inlineStr">
        <is>
          <t>Merit Health River Region</t>
        </is>
      </c>
      <c r="C1039" t="inlineStr">
        <is>
          <t>MS</t>
        </is>
      </c>
      <c r="D1039" t="inlineStr">
        <is>
          <t>Micropolitan</t>
        </is>
      </c>
      <c r="E1039" s="5" t="n">
        <v>670</v>
      </c>
      <c r="F1039" s="4" t="n">
        <v>0.6194029850746269</v>
      </c>
      <c r="G1039" s="4" t="n">
        <v>0.6166596961880209</v>
      </c>
      <c r="H1039" s="3" t="n">
        <v>8680626.165283546</v>
      </c>
      <c r="I1039" s="3" t="n">
        <v>-26842.51433117315</v>
      </c>
      <c r="J1039" s="4" t="n">
        <v>-0.0030922324979878</v>
      </c>
      <c r="K1039">
        <f>IF(AND(I1039&gt;0,J1039&gt;=Assumptions!$B$4),1,0)</f>
        <v/>
      </c>
      <c r="L1039" s="3">
        <f>I1039*K1039</f>
        <v/>
      </c>
      <c r="M1039">
        <f>SUM($K$2:K1039)</f>
        <v/>
      </c>
    </row>
    <row r="1040">
      <c r="A1040" t="inlineStr">
        <is>
          <t>110252</t>
        </is>
      </c>
      <c r="B1040" t="inlineStr">
        <is>
          <t>Northside Hospital Duluth</t>
        </is>
      </c>
      <c r="C1040" t="inlineStr">
        <is>
          <t>GA</t>
        </is>
      </c>
      <c r="D1040" t="inlineStr">
        <is>
          <t>Metropolitan</t>
        </is>
      </c>
      <c r="E1040" s="5" t="n">
        <v>509</v>
      </c>
      <c r="F1040" s="4" t="n">
        <v>0.6758349705304518</v>
      </c>
      <c r="G1040" s="4" t="n">
        <v>0.6510680885154621</v>
      </c>
      <c r="H1040" s="3" t="n">
        <v>7015761.16531112</v>
      </c>
      <c r="I1040" s="3" t="n">
        <v>-27072.43656784575</v>
      </c>
      <c r="J1040" s="4" t="n">
        <v>-0.0038588024777273</v>
      </c>
      <c r="K1040">
        <f>IF(AND(I1040&gt;0,J1040&gt;=Assumptions!$B$4),1,0)</f>
        <v/>
      </c>
      <c r="L1040" s="3">
        <f>I1040*K1040</f>
        <v/>
      </c>
      <c r="M1040">
        <f>SUM($K$2:K1040)</f>
        <v/>
      </c>
    </row>
    <row r="1041">
      <c r="A1041" t="inlineStr">
        <is>
          <t>030130</t>
        </is>
      </c>
      <c r="B1041" t="inlineStr">
        <is>
          <t>Banner Ironwood Medical Center</t>
        </is>
      </c>
      <c r="C1041" t="inlineStr">
        <is>
          <t>AZ</t>
        </is>
      </c>
      <c r="D1041" t="inlineStr">
        <is>
          <t>Metropolitan</t>
        </is>
      </c>
      <c r="E1041" s="5" t="n">
        <v>418</v>
      </c>
      <c r="F1041" s="4" t="n">
        <v>0.7344497607655502</v>
      </c>
      <c r="G1041" s="4" t="n">
        <v>0.7428004586208322</v>
      </c>
      <c r="H1041" s="3" t="n">
        <v>6542913.493359574</v>
      </c>
      <c r="I1041" s="3" t="n">
        <v>-28083.79671875108</v>
      </c>
      <c r="J1041" s="4" t="n">
        <v>-0.0042922463742266</v>
      </c>
      <c r="K1041">
        <f>IF(AND(I1041&gt;0,J1041&gt;=Assumptions!$B$4),1,0)</f>
        <v/>
      </c>
      <c r="L1041" s="3">
        <f>I1041*K1041</f>
        <v/>
      </c>
      <c r="M1041">
        <f>SUM($K$2:K1041)</f>
        <v/>
      </c>
    </row>
    <row r="1042">
      <c r="A1042" t="inlineStr">
        <is>
          <t>050740</t>
        </is>
      </c>
      <c r="B1042" t="inlineStr">
        <is>
          <t>Cedar-Sinai Marina Del Rey Hospital</t>
        </is>
      </c>
      <c r="C1042" t="inlineStr">
        <is>
          <t>CA</t>
        </is>
      </c>
      <c r="D1042" t="inlineStr">
        <is>
          <t>Metropolitan</t>
        </is>
      </c>
      <c r="E1042" s="5" t="n">
        <v>993</v>
      </c>
      <c r="F1042" s="4" t="n">
        <v>0.6525679758308157</v>
      </c>
      <c r="G1042" s="4" t="n">
        <v>0.6176313413295507</v>
      </c>
      <c r="H1042" s="3" t="n">
        <v>16561870.85923281</v>
      </c>
      <c r="I1042" s="3" t="n">
        <v>-28390.50497916713</v>
      </c>
      <c r="J1042" s="4" t="n">
        <v>-0.0017142088125472</v>
      </c>
      <c r="K1042">
        <f>IF(AND(I1042&gt;0,J1042&gt;=Assumptions!$B$4),1,0)</f>
        <v/>
      </c>
      <c r="L1042" s="3">
        <f>I1042*K1042</f>
        <v/>
      </c>
      <c r="M1042">
        <f>SUM($K$2:K1042)</f>
        <v/>
      </c>
    </row>
    <row r="1043">
      <c r="A1043" t="inlineStr">
        <is>
          <t>210034</t>
        </is>
      </c>
      <c r="B1043" t="inlineStr">
        <is>
          <t>Medstar Harbor Hospital</t>
        </is>
      </c>
      <c r="C1043" t="inlineStr">
        <is>
          <t>MD</t>
        </is>
      </c>
      <c r="D1043" t="inlineStr">
        <is>
          <t>Metropolitan</t>
        </is>
      </c>
      <c r="E1043" s="5" t="n">
        <v>1030</v>
      </c>
      <c r="F1043" s="4" t="n">
        <v>0.6864077669902913</v>
      </c>
      <c r="G1043" s="4" t="n">
        <v>0.6927323251217029</v>
      </c>
      <c r="H1043" s="3" t="n">
        <v>13937192.89481172</v>
      </c>
      <c r="I1043" s="3" t="n">
        <v>-28574.64383881912</v>
      </c>
      <c r="J1043" s="4" t="n">
        <v>-0.0020502438370825</v>
      </c>
      <c r="K1043">
        <f>IF(AND(I1043&gt;0,J1043&gt;=Assumptions!$B$4),1,0)</f>
        <v/>
      </c>
      <c r="L1043" s="3">
        <f>I1043*K1043</f>
        <v/>
      </c>
      <c r="M1043">
        <f>SUM($K$2:K1043)</f>
        <v/>
      </c>
    </row>
    <row r="1044">
      <c r="A1044" t="inlineStr">
        <is>
          <t>330273</t>
        </is>
      </c>
      <c r="B1044" t="inlineStr">
        <is>
          <t>Putnam Hospital Center</t>
        </is>
      </c>
      <c r="C1044" t="inlineStr">
        <is>
          <t>NY</t>
        </is>
      </c>
      <c r="D1044" t="inlineStr">
        <is>
          <t>Metropolitan</t>
        </is>
      </c>
      <c r="E1044" s="5" t="n">
        <v>709</v>
      </c>
      <c r="F1044" s="4" t="n">
        <v>0.7320169252468265</v>
      </c>
      <c r="G1044" s="4" t="n">
        <v>0.7189463004611119</v>
      </c>
      <c r="H1044" s="3" t="n">
        <v>9669113.312517419</v>
      </c>
      <c r="I1044" s="3" t="n">
        <v>-29631.57913387381</v>
      </c>
      <c r="J1044" s="4" t="n">
        <v>-0.0030645601283329</v>
      </c>
      <c r="K1044">
        <f>IF(AND(I1044&gt;0,J1044&gt;=Assumptions!$B$4),1,0)</f>
        <v/>
      </c>
      <c r="L1044" s="3">
        <f>I1044*K1044</f>
        <v/>
      </c>
      <c r="M1044">
        <f>SUM($K$2:K1044)</f>
        <v/>
      </c>
    </row>
    <row r="1045">
      <c r="A1045" t="inlineStr">
        <is>
          <t>250009</t>
        </is>
      </c>
      <c r="B1045" t="inlineStr">
        <is>
          <t>Magnolia Regional Health Center</t>
        </is>
      </c>
      <c r="C1045" t="inlineStr">
        <is>
          <t>MS</t>
        </is>
      </c>
      <c r="D1045" t="inlineStr">
        <is>
          <t>Micropolitan</t>
        </is>
      </c>
      <c r="E1045" s="5" t="n">
        <v>1699</v>
      </c>
      <c r="F1045" s="4" t="n">
        <v>0.6486168334314303</v>
      </c>
      <c r="G1045" s="4" t="n">
        <v>0.6363476631096687</v>
      </c>
      <c r="H1045" s="3" t="n">
        <v>24374258.1508937</v>
      </c>
      <c r="I1045" s="3" t="n">
        <v>-29901.65484175086</v>
      </c>
      <c r="J1045" s="4" t="n">
        <v>-0.0012267718942106</v>
      </c>
      <c r="K1045">
        <f>IF(AND(I1045&gt;0,J1045&gt;=Assumptions!$B$4),1,0)</f>
        <v/>
      </c>
      <c r="L1045" s="3">
        <f>I1045*K1045</f>
        <v/>
      </c>
      <c r="M1045">
        <f>SUM($K$2:K1045)</f>
        <v/>
      </c>
    </row>
    <row r="1046">
      <c r="A1046" t="inlineStr">
        <is>
          <t>150112</t>
        </is>
      </c>
      <c r="B1046" t="inlineStr">
        <is>
          <t>Columbus Regional Hospital</t>
        </is>
      </c>
      <c r="C1046" t="inlineStr">
        <is>
          <t>IN</t>
        </is>
      </c>
      <c r="D1046" t="inlineStr">
        <is>
          <t>Metropolitan</t>
        </is>
      </c>
      <c r="E1046" s="5" t="n">
        <v>1717</v>
      </c>
      <c r="F1046" s="4" t="n">
        <v>0.6383226557949913</v>
      </c>
      <c r="G1046" s="4" t="n">
        <v>0.638556428443952</v>
      </c>
      <c r="H1046" s="3" t="n">
        <v>23108467.3200272</v>
      </c>
      <c r="I1046" s="3" t="n">
        <v>-32632.30567515269</v>
      </c>
      <c r="J1046" s="4" t="n">
        <v>-0.0014121363058497</v>
      </c>
      <c r="K1046">
        <f>IF(AND(I1046&gt;0,J1046&gt;=Assumptions!$B$4),1,0)</f>
        <v/>
      </c>
      <c r="L1046" s="3">
        <f>I1046*K1046</f>
        <v/>
      </c>
      <c r="M1046">
        <f>SUM($K$2:K1046)</f>
        <v/>
      </c>
    </row>
    <row r="1047">
      <c r="A1047" t="inlineStr">
        <is>
          <t>090003</t>
        </is>
      </c>
      <c r="B1047" t="inlineStr">
        <is>
          <t>Howard University Hospital</t>
        </is>
      </c>
      <c r="C1047" t="inlineStr">
        <is>
          <t>DC</t>
        </is>
      </c>
      <c r="D1047" t="inlineStr">
        <is>
          <t>Metropolitan</t>
        </is>
      </c>
      <c r="E1047" s="5" t="n">
        <v>636</v>
      </c>
      <c r="F1047" s="4" t="n">
        <v>0.5974842767295597</v>
      </c>
      <c r="G1047" s="4" t="n">
        <v>0.6455267634818397</v>
      </c>
      <c r="H1047" s="3" t="n">
        <v>8146164.588321538</v>
      </c>
      <c r="I1047" s="3" t="n">
        <v>-33103.48560571577</v>
      </c>
      <c r="J1047" s="4" t="n">
        <v>-0.0040636897581437</v>
      </c>
      <c r="K1047">
        <f>IF(AND(I1047&gt;0,J1047&gt;=Assumptions!$B$4),1,0)</f>
        <v/>
      </c>
      <c r="L1047" s="3">
        <f>I1047*K1047</f>
        <v/>
      </c>
      <c r="M1047">
        <f>SUM($K$2:K1047)</f>
        <v/>
      </c>
    </row>
    <row r="1048">
      <c r="A1048" t="inlineStr">
        <is>
          <t>230167</t>
        </is>
      </c>
      <c r="B1048" t="inlineStr">
        <is>
          <t>Mclaren Greater Lansing</t>
        </is>
      </c>
      <c r="C1048" t="inlineStr">
        <is>
          <t>MI</t>
        </is>
      </c>
      <c r="D1048" t="inlineStr">
        <is>
          <t>Metropolitan</t>
        </is>
      </c>
      <c r="E1048" s="5" t="n">
        <v>1021</v>
      </c>
      <c r="F1048" s="4" t="n">
        <v>0.6101860920666013</v>
      </c>
      <c r="G1048" s="4" t="n">
        <v>0.5870111783490747</v>
      </c>
      <c r="H1048" s="3" t="n">
        <v>15628842.1365072</v>
      </c>
      <c r="I1048" s="3" t="n">
        <v>-34805.05234577321</v>
      </c>
      <c r="J1048" s="4" t="n">
        <v>-0.0022269757440618</v>
      </c>
      <c r="K1048">
        <f>IF(AND(I1048&gt;0,J1048&gt;=Assumptions!$B$4),1,0)</f>
        <v/>
      </c>
      <c r="L1048" s="3">
        <f>I1048*K1048</f>
        <v/>
      </c>
      <c r="M1048">
        <f>SUM($K$2:K1048)</f>
        <v/>
      </c>
    </row>
    <row r="1049">
      <c r="A1049" t="inlineStr">
        <is>
          <t>670043</t>
        </is>
      </c>
      <c r="B1049" t="inlineStr">
        <is>
          <t>Cedar Park Regional Medical Center</t>
        </is>
      </c>
      <c r="C1049" t="inlineStr">
        <is>
          <t>TX</t>
        </is>
      </c>
      <c r="D1049" t="inlineStr">
        <is>
          <t>Metropolitan</t>
        </is>
      </c>
      <c r="E1049" s="5" t="n">
        <v>589</v>
      </c>
      <c r="F1049" s="4" t="n">
        <v>0.6977928692699491</v>
      </c>
      <c r="G1049" s="4" t="n">
        <v>0.6826361215318201</v>
      </c>
      <c r="H1049" s="3" t="n">
        <v>8185190.954733897</v>
      </c>
      <c r="I1049" s="3" t="n">
        <v>-34876.01707205363</v>
      </c>
      <c r="J1049" s="4" t="n">
        <v>-0.0042608678606188</v>
      </c>
      <c r="K1049">
        <f>IF(AND(I1049&gt;0,J1049&gt;=Assumptions!$B$4),1,0)</f>
        <v/>
      </c>
      <c r="L1049" s="3">
        <f>I1049*K1049</f>
        <v/>
      </c>
      <c r="M1049">
        <f>SUM($K$2:K1049)</f>
        <v/>
      </c>
    </row>
    <row r="1050">
      <c r="A1050" t="inlineStr">
        <is>
          <t>030007</t>
        </is>
      </c>
      <c r="B1050" t="inlineStr">
        <is>
          <t>Verde Valley Medical Center</t>
        </is>
      </c>
      <c r="C1050" t="inlineStr">
        <is>
          <t>AZ</t>
        </is>
      </c>
      <c r="D1050" t="inlineStr">
        <is>
          <t>Micropolitan</t>
        </is>
      </c>
      <c r="E1050" s="5" t="n">
        <v>769</v>
      </c>
      <c r="F1050" s="4" t="n">
        <v>0.5500650195058517</v>
      </c>
      <c r="G1050" s="4" t="n">
        <v>0.5525809990769901</v>
      </c>
      <c r="H1050" s="3" t="n">
        <v>10039208.9036479</v>
      </c>
      <c r="I1050" s="3" t="n">
        <v>-34989.70809134468</v>
      </c>
      <c r="J1050" s="4" t="n">
        <v>-0.0034853053091295</v>
      </c>
      <c r="K1050">
        <f>IF(AND(I1050&gt;0,J1050&gt;=Assumptions!$B$4),1,0)</f>
        <v/>
      </c>
      <c r="L1050" s="3">
        <f>I1050*K1050</f>
        <v/>
      </c>
      <c r="M1050">
        <f>SUM($K$2:K1050)</f>
        <v/>
      </c>
    </row>
    <row r="1051">
      <c r="A1051" t="inlineStr">
        <is>
          <t>100086</t>
        </is>
      </c>
      <c r="B1051" t="inlineStr">
        <is>
          <t>Broward Health North</t>
        </is>
      </c>
      <c r="C1051" t="inlineStr">
        <is>
          <t>FL</t>
        </is>
      </c>
      <c r="D1051" t="inlineStr">
        <is>
          <t>Metropolitan</t>
        </is>
      </c>
      <c r="E1051" s="5" t="n">
        <v>1409</v>
      </c>
      <c r="F1051" s="4" t="n">
        <v>0.5699077359829666</v>
      </c>
      <c r="G1051" s="4" t="n">
        <v>0.5852357441033226</v>
      </c>
      <c r="H1051" s="3" t="n">
        <v>20262771.82452035</v>
      </c>
      <c r="I1051" s="3" t="n">
        <v>-36340.18398597464</v>
      </c>
      <c r="J1051" s="4" t="n">
        <v>-0.0017934458474234</v>
      </c>
      <c r="K1051">
        <f>IF(AND(I1051&gt;0,J1051&gt;=Assumptions!$B$4),1,0)</f>
        <v/>
      </c>
      <c r="L1051" s="3">
        <f>I1051*K1051</f>
        <v/>
      </c>
      <c r="M1051">
        <f>SUM($K$2:K1051)</f>
        <v/>
      </c>
    </row>
    <row r="1052">
      <c r="A1052" t="inlineStr">
        <is>
          <t>390016</t>
        </is>
      </c>
      <c r="B1052" t="inlineStr">
        <is>
          <t>Upmc Jameson</t>
        </is>
      </c>
      <c r="C1052" t="inlineStr">
        <is>
          <t>PA</t>
        </is>
      </c>
      <c r="D1052" t="inlineStr">
        <is>
          <t>Micropolitan</t>
        </is>
      </c>
      <c r="E1052" s="5" t="n">
        <v>461</v>
      </c>
      <c r="F1052" s="4" t="n">
        <v>0.6681127982646421</v>
      </c>
      <c r="G1052" s="4" t="n">
        <v>0.6784574741116001</v>
      </c>
      <c r="H1052" s="3" t="n">
        <v>5929511.092143483</v>
      </c>
      <c r="I1052" s="3" t="n">
        <v>-36799.70831631403</v>
      </c>
      <c r="J1052" s="4" t="n">
        <v>-0.0062061960496326</v>
      </c>
      <c r="K1052">
        <f>IF(AND(I1052&gt;0,J1052&gt;=Assumptions!$B$4),1,0)</f>
        <v/>
      </c>
      <c r="L1052" s="3">
        <f>I1052*K1052</f>
        <v/>
      </c>
      <c r="M1052">
        <f>SUM($K$2:K1052)</f>
        <v/>
      </c>
    </row>
    <row r="1053">
      <c r="A1053" t="inlineStr">
        <is>
          <t>050235</t>
        </is>
      </c>
      <c r="B1053" t="inlineStr">
        <is>
          <t>Providence Saint Joseph Medical Ctr</t>
        </is>
      </c>
      <c r="C1053" t="inlineStr">
        <is>
          <t>CA</t>
        </is>
      </c>
      <c r="D1053" t="inlineStr">
        <is>
          <t>Metropolitan</t>
        </is>
      </c>
      <c r="E1053" s="5" t="n">
        <v>3519</v>
      </c>
      <c r="F1053" s="4" t="n">
        <v>0.6427962489343564</v>
      </c>
      <c r="G1053" s="4" t="n">
        <v>0.6283198386750543</v>
      </c>
      <c r="H1053" s="3" t="n">
        <v>51774030.79471349</v>
      </c>
      <c r="I1053" s="3" t="n">
        <v>-37237.24915993214</v>
      </c>
      <c r="J1053" s="4" t="n">
        <v>-0.0007192263879855</v>
      </c>
      <c r="K1053">
        <f>IF(AND(I1053&gt;0,J1053&gt;=Assumptions!$B$4),1,0)</f>
        <v/>
      </c>
      <c r="L1053" s="3">
        <f>I1053*K1053</f>
        <v/>
      </c>
      <c r="M1053">
        <f>SUM($K$2:K1053)</f>
        <v/>
      </c>
    </row>
    <row r="1054">
      <c r="A1054" t="inlineStr">
        <is>
          <t>150007</t>
        </is>
      </c>
      <c r="B1054" t="inlineStr">
        <is>
          <t>Community Howard Regional Health Inc</t>
        </is>
      </c>
      <c r="C1054" t="inlineStr">
        <is>
          <t>IN</t>
        </is>
      </c>
      <c r="D1054" t="inlineStr">
        <is>
          <t>Metropolitan</t>
        </is>
      </c>
      <c r="E1054" s="5" t="n">
        <v>504</v>
      </c>
      <c r="F1054" s="4" t="n">
        <v>0.6805555555555556</v>
      </c>
      <c r="G1054" s="4" t="n">
        <v>0.6771787623086869</v>
      </c>
      <c r="H1054" s="3" t="n">
        <v>6029510.482257948</v>
      </c>
      <c r="I1054" s="3" t="n">
        <v>-37501.23953817133</v>
      </c>
      <c r="J1054" s="4" t="n">
        <v>-0.0062196159453607</v>
      </c>
      <c r="K1054">
        <f>IF(AND(I1054&gt;0,J1054&gt;=Assumptions!$B$4),1,0)</f>
        <v/>
      </c>
      <c r="L1054" s="3">
        <f>I1054*K1054</f>
        <v/>
      </c>
      <c r="M1054">
        <f>SUM($K$2:K1054)</f>
        <v/>
      </c>
    </row>
    <row r="1055">
      <c r="A1055" t="inlineStr">
        <is>
          <t>340070</t>
        </is>
      </c>
      <c r="B1055" t="inlineStr">
        <is>
          <t>Alamance Regional Medical Center</t>
        </is>
      </c>
      <c r="C1055" t="inlineStr">
        <is>
          <t>NC</t>
        </is>
      </c>
      <c r="D1055" t="inlineStr">
        <is>
          <t>Metropolitan</t>
        </is>
      </c>
      <c r="E1055" s="5" t="n">
        <v>1071</v>
      </c>
      <c r="F1055" s="4" t="n">
        <v>0.7012138188608776</v>
      </c>
      <c r="G1055" s="4" t="n">
        <v>0.6796620395903422</v>
      </c>
      <c r="H1055" s="3" t="n">
        <v>15148386.27879223</v>
      </c>
      <c r="I1055" s="3" t="n">
        <v>-39676.88312573358</v>
      </c>
      <c r="J1055" s="4" t="n">
        <v>-0.0026192151688976</v>
      </c>
      <c r="K1055">
        <f>IF(AND(I1055&gt;0,J1055&gt;=Assumptions!$B$4),1,0)</f>
        <v/>
      </c>
      <c r="L1055" s="3">
        <f>I1055*K1055</f>
        <v/>
      </c>
      <c r="M1055">
        <f>SUM($K$2:K1055)</f>
        <v/>
      </c>
    </row>
    <row r="1056">
      <c r="A1056" t="inlineStr">
        <is>
          <t>050424</t>
        </is>
      </c>
      <c r="B1056" t="inlineStr">
        <is>
          <t>Scripps Green Hospital</t>
        </is>
      </c>
      <c r="C1056" t="inlineStr">
        <is>
          <t>CA</t>
        </is>
      </c>
      <c r="D1056" t="inlineStr">
        <is>
          <t>Metropolitan</t>
        </is>
      </c>
      <c r="E1056" s="5" t="n">
        <v>1173</v>
      </c>
      <c r="F1056" s="4" t="n">
        <v>0.381926683716965</v>
      </c>
      <c r="G1056" s="4" t="n">
        <v>0.4220681955306445</v>
      </c>
      <c r="H1056" s="3" t="n">
        <v>26914380.36179132</v>
      </c>
      <c r="I1056" s="3" t="n">
        <v>-39697.30569225177</v>
      </c>
      <c r="J1056" s="4" t="n">
        <v>-0.0014749477847391</v>
      </c>
      <c r="K1056">
        <f>IF(AND(I1056&gt;0,J1056&gt;=Assumptions!$B$4),1,0)</f>
        <v/>
      </c>
      <c r="L1056" s="3">
        <f>I1056*K1056</f>
        <v/>
      </c>
      <c r="M1056">
        <f>SUM($K$2:K1056)</f>
        <v/>
      </c>
    </row>
    <row r="1057">
      <c r="A1057" t="inlineStr">
        <is>
          <t>670080</t>
        </is>
      </c>
      <c r="B1057" t="inlineStr">
        <is>
          <t>Seton Medical Center Harker Heights</t>
        </is>
      </c>
      <c r="C1057" t="inlineStr">
        <is>
          <t>TX</t>
        </is>
      </c>
      <c r="D1057" t="inlineStr">
        <is>
          <t>Metropolitan</t>
        </is>
      </c>
      <c r="E1057" s="5" t="n">
        <v>437</v>
      </c>
      <c r="F1057" s="4" t="n">
        <v>0.7322654462242563</v>
      </c>
      <c r="G1057" s="4" t="n">
        <v>0.7080301373691366</v>
      </c>
      <c r="H1057" s="3" t="n">
        <v>5637157.760465181</v>
      </c>
      <c r="I1057" s="3" t="n">
        <v>-39844.10599262081</v>
      </c>
      <c r="J1057" s="4" t="n">
        <v>-0.0070681197308433</v>
      </c>
      <c r="K1057">
        <f>IF(AND(I1057&gt;0,J1057&gt;=Assumptions!$B$4),1,0)</f>
        <v/>
      </c>
      <c r="L1057" s="3">
        <f>I1057*K1057</f>
        <v/>
      </c>
      <c r="M1057">
        <f>SUM($K$2:K1057)</f>
        <v/>
      </c>
    </row>
    <row r="1058">
      <c r="A1058" t="inlineStr">
        <is>
          <t>360086</t>
        </is>
      </c>
      <c r="B1058" t="inlineStr">
        <is>
          <t>Mercy Health - Springfield Regional Medical Center</t>
        </is>
      </c>
      <c r="C1058" t="inlineStr">
        <is>
          <t>OH</t>
        </is>
      </c>
      <c r="D1058" t="inlineStr">
        <is>
          <t>Metropolitan</t>
        </is>
      </c>
      <c r="E1058" s="5" t="n">
        <v>1343</v>
      </c>
      <c r="F1058" s="4" t="n">
        <v>0.6291883842144452</v>
      </c>
      <c r="G1058" s="4" t="n">
        <v>0.6127311360407548</v>
      </c>
      <c r="H1058" s="3" t="n">
        <v>19300410.43330964</v>
      </c>
      <c r="I1058" s="3" t="n">
        <v>-40062.33080260083</v>
      </c>
      <c r="J1058" s="4" t="n">
        <v>-0.0020757242930678</v>
      </c>
      <c r="K1058">
        <f>IF(AND(I1058&gt;0,J1058&gt;=Assumptions!$B$4),1,0)</f>
        <v/>
      </c>
      <c r="L1058" s="3">
        <f>I1058*K1058</f>
        <v/>
      </c>
      <c r="M1058">
        <f>SUM($K$2:K1058)</f>
        <v/>
      </c>
    </row>
    <row r="1059">
      <c r="A1059" t="inlineStr">
        <is>
          <t>180051</t>
        </is>
      </c>
      <c r="B1059" t="inlineStr">
        <is>
          <t>Jennie Stuart Medical Center</t>
        </is>
      </c>
      <c r="C1059" t="inlineStr">
        <is>
          <t>KY</t>
        </is>
      </c>
      <c r="D1059" t="inlineStr">
        <is>
          <t>Micropolitan</t>
        </is>
      </c>
      <c r="E1059" s="5" t="n">
        <v>478</v>
      </c>
      <c r="F1059" s="4" t="n">
        <v>0.6652719665271967</v>
      </c>
      <c r="G1059" s="4" t="n">
        <v>0.6617860435485661</v>
      </c>
      <c r="H1059" s="3" t="n">
        <v>6295524.872211655</v>
      </c>
      <c r="I1059" s="3" t="n">
        <v>-40066.03164024279</v>
      </c>
      <c r="J1059" s="4" t="n">
        <v>-0.0063642082993101</v>
      </c>
      <c r="K1059">
        <f>IF(AND(I1059&gt;0,J1059&gt;=Assumptions!$B$4),1,0)</f>
        <v/>
      </c>
      <c r="L1059" s="3">
        <f>I1059*K1059</f>
        <v/>
      </c>
      <c r="M1059">
        <f>SUM($K$2:K1059)</f>
        <v/>
      </c>
    </row>
    <row r="1060">
      <c r="A1060" t="inlineStr">
        <is>
          <t>180044</t>
        </is>
      </c>
      <c r="B1060" t="inlineStr">
        <is>
          <t>Pikeville Medical Center</t>
        </is>
      </c>
      <c r="C1060" t="inlineStr">
        <is>
          <t>KY</t>
        </is>
      </c>
      <c r="D1060" t="inlineStr">
        <is>
          <t>Rural</t>
        </is>
      </c>
      <c r="E1060" s="5" t="n">
        <v>1842</v>
      </c>
      <c r="F1060" s="4" t="n">
        <v>0.5998914223669924</v>
      </c>
      <c r="G1060" s="4" t="n">
        <v>0.6058210885036526</v>
      </c>
      <c r="H1060" s="3" t="n">
        <v>27181253.29965233</v>
      </c>
      <c r="I1060" s="3" t="n">
        <v>-40287.62313532829</v>
      </c>
      <c r="J1060" s="4" t="n">
        <v>-0.0014821841616789</v>
      </c>
      <c r="K1060">
        <f>IF(AND(I1060&gt;0,J1060&gt;=Assumptions!$B$4),1,0)</f>
        <v/>
      </c>
      <c r="L1060" s="3">
        <f>I1060*K1060</f>
        <v/>
      </c>
      <c r="M1060">
        <f>SUM($K$2:K1060)</f>
        <v/>
      </c>
    </row>
    <row r="1061">
      <c r="A1061" t="inlineStr">
        <is>
          <t>360048</t>
        </is>
      </c>
      <c r="B1061" t="inlineStr">
        <is>
          <t>University Of Toledo Medical Center</t>
        </is>
      </c>
      <c r="C1061" t="inlineStr">
        <is>
          <t>OH</t>
        </is>
      </c>
      <c r="D1061" t="inlineStr">
        <is>
          <t>Unclassified</t>
        </is>
      </c>
      <c r="E1061" s="5" t="n">
        <v>974</v>
      </c>
      <c r="F1061" s="4" t="n">
        <v>0.5133470225872689</v>
      </c>
      <c r="G1061" s="4" t="n">
        <v>0.5349089799999197</v>
      </c>
      <c r="H1061" s="3" t="n">
        <v>15599632.81122238</v>
      </c>
      <c r="I1061" s="3" t="n">
        <v>-40429.72698695585</v>
      </c>
      <c r="J1061" s="4" t="n">
        <v>-0.0025917101688361</v>
      </c>
      <c r="K1061">
        <f>IF(AND(I1061&gt;0,J1061&gt;=Assumptions!$B$4),1,0)</f>
        <v/>
      </c>
      <c r="L1061" s="3">
        <f>I1061*K1061</f>
        <v/>
      </c>
      <c r="M1061">
        <f>SUM($K$2:K1061)</f>
        <v/>
      </c>
    </row>
    <row r="1062">
      <c r="A1062" t="inlineStr">
        <is>
          <t>050537</t>
        </is>
      </c>
      <c r="B1062" t="inlineStr">
        <is>
          <t>Sutter Davis Hospital</t>
        </is>
      </c>
      <c r="C1062" t="inlineStr">
        <is>
          <t>CA</t>
        </is>
      </c>
      <c r="D1062" t="inlineStr">
        <is>
          <t>Metropolitan</t>
        </is>
      </c>
      <c r="E1062" s="5" t="n">
        <v>526</v>
      </c>
      <c r="F1062" s="4" t="n">
        <v>0.7756653992395437</v>
      </c>
      <c r="G1062" s="4" t="n">
        <v>0.7648313741609102</v>
      </c>
      <c r="H1062" s="3" t="n">
        <v>7735711.16024242</v>
      </c>
      <c r="I1062" s="3" t="n">
        <v>-40501.98789106682</v>
      </c>
      <c r="J1062" s="4" t="n">
        <v>-0.005235716154867</v>
      </c>
      <c r="K1062">
        <f>IF(AND(I1062&gt;0,J1062&gt;=Assumptions!$B$4),1,0)</f>
        <v/>
      </c>
      <c r="L1062" s="3">
        <f>I1062*K1062</f>
        <v/>
      </c>
      <c r="M1062">
        <f>SUM($K$2:K1062)</f>
        <v/>
      </c>
    </row>
    <row r="1063">
      <c r="A1063" t="inlineStr">
        <is>
          <t>110015</t>
        </is>
      </c>
      <c r="B1063" t="inlineStr">
        <is>
          <t>Tanner Medical Center Villa Rica</t>
        </is>
      </c>
      <c r="C1063" t="inlineStr">
        <is>
          <t>GA</t>
        </is>
      </c>
      <c r="D1063" t="inlineStr">
        <is>
          <t>Metropolitan</t>
        </is>
      </c>
      <c r="E1063" s="5" t="n">
        <v>367</v>
      </c>
      <c r="F1063" s="4" t="n">
        <v>0.7411444141689373</v>
      </c>
      <c r="G1063" s="4" t="n">
        <v>0.7057749911198959</v>
      </c>
      <c r="H1063" s="3" t="n">
        <v>4395827.267265501</v>
      </c>
      <c r="I1063" s="3" t="n">
        <v>-40627.64522377308</v>
      </c>
      <c r="J1063" s="4" t="n">
        <v>-0.009242320672223799</v>
      </c>
      <c r="K1063">
        <f>IF(AND(I1063&gt;0,J1063&gt;=Assumptions!$B$4),1,0)</f>
        <v/>
      </c>
      <c r="L1063" s="3">
        <f>I1063*K1063</f>
        <v/>
      </c>
      <c r="M1063">
        <f>SUM($K$2:K1063)</f>
        <v/>
      </c>
    </row>
    <row r="1064">
      <c r="A1064" t="inlineStr">
        <is>
          <t>390036</t>
        </is>
      </c>
      <c r="B1064" t="inlineStr">
        <is>
          <t>Heritage Valley Beaver</t>
        </is>
      </c>
      <c r="C1064" t="inlineStr">
        <is>
          <t>PA</t>
        </is>
      </c>
      <c r="D1064" t="inlineStr">
        <is>
          <t>Metropolitan</t>
        </is>
      </c>
      <c r="E1064" s="5" t="n">
        <v>590</v>
      </c>
      <c r="F1064" s="4" t="n">
        <v>0.6644067796610169</v>
      </c>
      <c r="G1064" s="4" t="n">
        <v>0.660786152227437</v>
      </c>
      <c r="H1064" s="3" t="n">
        <v>7152482.304171073</v>
      </c>
      <c r="I1064" s="3" t="n">
        <v>-42056.64167175628</v>
      </c>
      <c r="J1064" s="4" t="n">
        <v>-0.005880006392638</v>
      </c>
      <c r="K1064">
        <f>IF(AND(I1064&gt;0,J1064&gt;=Assumptions!$B$4),1,0)</f>
        <v/>
      </c>
      <c r="L1064" s="3">
        <f>I1064*K1064</f>
        <v/>
      </c>
      <c r="M1064">
        <f>SUM($K$2:K1064)</f>
        <v/>
      </c>
    </row>
    <row r="1065">
      <c r="A1065" t="inlineStr">
        <is>
          <t>230029</t>
        </is>
      </c>
      <c r="B1065" t="inlineStr">
        <is>
          <t>Trinity Health Oakland Hospital</t>
        </is>
      </c>
      <c r="C1065" t="inlineStr">
        <is>
          <t>MI</t>
        </is>
      </c>
      <c r="D1065" t="inlineStr">
        <is>
          <t>Metropolitan</t>
        </is>
      </c>
      <c r="E1065" s="5" t="n">
        <v>2719</v>
      </c>
      <c r="F1065" s="4" t="n">
        <v>0.567488047076131</v>
      </c>
      <c r="G1065" s="4" t="n">
        <v>0.567513937833097</v>
      </c>
      <c r="H1065" s="3" t="n">
        <v>41391580.69696188</v>
      </c>
      <c r="I1065" s="3" t="n">
        <v>-42719.33052459359</v>
      </c>
      <c r="J1065" s="4" t="n">
        <v>-0.0010320777753657</v>
      </c>
      <c r="K1065">
        <f>IF(AND(I1065&gt;0,J1065&gt;=Assumptions!$B$4),1,0)</f>
        <v/>
      </c>
      <c r="L1065" s="3">
        <f>I1065*K1065</f>
        <v/>
      </c>
      <c r="M1065">
        <f>SUM($K$2:K1065)</f>
        <v/>
      </c>
    </row>
    <row r="1066">
      <c r="A1066" t="inlineStr">
        <is>
          <t>250006</t>
        </is>
      </c>
      <c r="B1066" t="inlineStr">
        <is>
          <t>Baptist Memorial Hospital Union County</t>
        </is>
      </c>
      <c r="C1066" t="inlineStr">
        <is>
          <t>MS</t>
        </is>
      </c>
      <c r="D1066" t="inlineStr">
        <is>
          <t>Small town</t>
        </is>
      </c>
      <c r="E1066" s="5" t="n">
        <v>589</v>
      </c>
      <c r="F1066" s="4" t="n">
        <v>0.7232597623089984</v>
      </c>
      <c r="G1066" s="4" t="n">
        <v>0.7014662541424639</v>
      </c>
      <c r="H1066" s="3" t="n">
        <v>8490202.255627813</v>
      </c>
      <c r="I1066" s="3" t="n">
        <v>-43756.45665725693</v>
      </c>
      <c r="J1066" s="4" t="n">
        <v>-0.0051537590436379</v>
      </c>
      <c r="K1066">
        <f>IF(AND(I1066&gt;0,J1066&gt;=Assumptions!$B$4),1,0)</f>
        <v/>
      </c>
      <c r="L1066" s="3">
        <f>I1066*K1066</f>
        <v/>
      </c>
      <c r="M1066">
        <f>SUM($K$2:K1066)</f>
        <v/>
      </c>
    </row>
    <row r="1067">
      <c r="A1067" t="inlineStr">
        <is>
          <t>360145</t>
        </is>
      </c>
      <c r="B1067" t="inlineStr">
        <is>
          <t>University Hospitals - Elyria Medical Center</t>
        </is>
      </c>
      <c r="C1067" t="inlineStr">
        <is>
          <t>OH</t>
        </is>
      </c>
      <c r="D1067" t="inlineStr">
        <is>
          <t>Metropolitan</t>
        </is>
      </c>
      <c r="E1067" s="5" t="n">
        <v>974</v>
      </c>
      <c r="F1067" s="4" t="n">
        <v>0.6098562628336756</v>
      </c>
      <c r="G1067" s="4" t="n">
        <v>0.6138992381742646</v>
      </c>
      <c r="H1067" s="3" t="n">
        <v>11864127.86724118</v>
      </c>
      <c r="I1067" s="3" t="n">
        <v>-44498.70852407627</v>
      </c>
      <c r="J1067" s="4" t="n">
        <v>-0.003750693605296</v>
      </c>
      <c r="K1067">
        <f>IF(AND(I1067&gt;0,J1067&gt;=Assumptions!$B$4),1,0)</f>
        <v/>
      </c>
      <c r="L1067" s="3">
        <f>I1067*K1067</f>
        <v/>
      </c>
      <c r="M1067">
        <f>SUM($K$2:K1067)</f>
        <v/>
      </c>
    </row>
    <row r="1068">
      <c r="A1068" t="inlineStr">
        <is>
          <t>450743</t>
        </is>
      </c>
      <c r="B1068" t="inlineStr">
        <is>
          <t>Texas Health Presbyterian Hospital Denton</t>
        </is>
      </c>
      <c r="C1068" t="inlineStr">
        <is>
          <t>TX</t>
        </is>
      </c>
      <c r="D1068" t="inlineStr">
        <is>
          <t>Metropolitan</t>
        </is>
      </c>
      <c r="E1068" s="5" t="n">
        <v>1721</v>
      </c>
      <c r="F1068" s="4" t="n">
        <v>0.6013945380592679</v>
      </c>
      <c r="G1068" s="4" t="n">
        <v>0.6087970411402381</v>
      </c>
      <c r="H1068" s="3" t="n">
        <v>25511511.52136969</v>
      </c>
      <c r="I1068" s="3" t="n">
        <v>-46031.71957723051</v>
      </c>
      <c r="J1068" s="4" t="n">
        <v>-0.0018043509314872</v>
      </c>
      <c r="K1068">
        <f>IF(AND(I1068&gt;0,J1068&gt;=Assumptions!$B$4),1,0)</f>
        <v/>
      </c>
      <c r="L1068" s="3">
        <f>I1068*K1068</f>
        <v/>
      </c>
      <c r="M1068">
        <f>SUM($K$2:K1068)</f>
        <v/>
      </c>
    </row>
    <row r="1069">
      <c r="A1069" t="inlineStr">
        <is>
          <t>300020</t>
        </is>
      </c>
      <c r="B1069" t="inlineStr">
        <is>
          <t>Southern Nh Medical Center</t>
        </is>
      </c>
      <c r="C1069" t="inlineStr">
        <is>
          <t>NH</t>
        </is>
      </c>
      <c r="D1069" t="inlineStr">
        <is>
          <t>Metropolitan</t>
        </is>
      </c>
      <c r="E1069" s="5" t="n">
        <v>1433</v>
      </c>
      <c r="F1069" s="4" t="n">
        <v>0.6161898115840894</v>
      </c>
      <c r="G1069" s="4" t="n">
        <v>0.6139150466306645</v>
      </c>
      <c r="H1069" s="3" t="n">
        <v>19705843.58635665</v>
      </c>
      <c r="I1069" s="3" t="n">
        <v>-46300.39807171747</v>
      </c>
      <c r="J1069" s="4" t="n">
        <v>-0.0023495770616881</v>
      </c>
      <c r="K1069">
        <f>IF(AND(I1069&gt;0,J1069&gt;=Assumptions!$B$4),1,0)</f>
        <v/>
      </c>
      <c r="L1069" s="3">
        <f>I1069*K1069</f>
        <v/>
      </c>
      <c r="M1069">
        <f>SUM($K$2:K1069)</f>
        <v/>
      </c>
    </row>
    <row r="1070">
      <c r="A1070" t="inlineStr">
        <is>
          <t>450289</t>
        </is>
      </c>
      <c r="B1070" t="inlineStr">
        <is>
          <t>Harris Health System</t>
        </is>
      </c>
      <c r="C1070" t="inlineStr">
        <is>
          <t>TX</t>
        </is>
      </c>
      <c r="D1070" t="inlineStr">
        <is>
          <t>Metropolitan</t>
        </is>
      </c>
      <c r="E1070" s="5" t="n">
        <v>320</v>
      </c>
      <c r="F1070" s="4" t="n">
        <v>0.64375</v>
      </c>
      <c r="G1070" s="4" t="n">
        <v>0.6848964533666548</v>
      </c>
      <c r="H1070" s="3" t="n">
        <v>4590485.497114461</v>
      </c>
      <c r="I1070" s="3" t="n">
        <v>-46694.59261547588</v>
      </c>
      <c r="J1070" s="4" t="n">
        <v>-0.0101720379347299</v>
      </c>
      <c r="K1070">
        <f>IF(AND(I1070&gt;0,J1070&gt;=Assumptions!$B$4),1,0)</f>
        <v/>
      </c>
      <c r="L1070" s="3">
        <f>I1070*K1070</f>
        <v/>
      </c>
      <c r="M1070">
        <f>SUM($K$2:K1070)</f>
        <v/>
      </c>
    </row>
    <row r="1071">
      <c r="A1071" t="inlineStr">
        <is>
          <t>300017</t>
        </is>
      </c>
      <c r="B1071" t="inlineStr">
        <is>
          <t>Parkland Medical Center</t>
        </is>
      </c>
      <c r="C1071" t="inlineStr">
        <is>
          <t>NH</t>
        </is>
      </c>
      <c r="D1071" t="inlineStr">
        <is>
          <t>Metropolitan</t>
        </is>
      </c>
      <c r="E1071" s="5" t="n">
        <v>759</v>
      </c>
      <c r="F1071" s="4" t="n">
        <v>0.6798418972332015</v>
      </c>
      <c r="G1071" s="4" t="n">
        <v>0.6600552793675776</v>
      </c>
      <c r="H1071" s="3" t="n">
        <v>9334301.754069848</v>
      </c>
      <c r="I1071" s="3" t="n">
        <v>-47551.74782654643</v>
      </c>
      <c r="J1071" s="4" t="n">
        <v>-0.0050943015427815</v>
      </c>
      <c r="K1071">
        <f>IF(AND(I1071&gt;0,J1071&gt;=Assumptions!$B$4),1,0)</f>
        <v/>
      </c>
      <c r="L1071" s="3">
        <f>I1071*K1071</f>
        <v/>
      </c>
      <c r="M1071">
        <f>SUM($K$2:K1071)</f>
        <v/>
      </c>
    </row>
    <row r="1072">
      <c r="A1072" t="inlineStr">
        <is>
          <t>240047</t>
        </is>
      </c>
      <c r="B1072" t="inlineStr">
        <is>
          <t>St Lukes Hospital</t>
        </is>
      </c>
      <c r="C1072" t="inlineStr">
        <is>
          <t>MN</t>
        </is>
      </c>
      <c r="D1072" t="inlineStr">
        <is>
          <t>Metropolitan</t>
        </is>
      </c>
      <c r="E1072" s="5" t="n">
        <v>2105</v>
      </c>
      <c r="F1072" s="4" t="n">
        <v>0.5154394299287411</v>
      </c>
      <c r="G1072" s="4" t="n">
        <v>0.5212892614069785</v>
      </c>
      <c r="H1072" s="3" t="n">
        <v>33726586.62921175</v>
      </c>
      <c r="I1072" s="3" t="n">
        <v>-48115.364040941</v>
      </c>
      <c r="J1072" s="4" t="n">
        <v>-0.0014266301114286</v>
      </c>
      <c r="K1072">
        <f>IF(AND(I1072&gt;0,J1072&gt;=Assumptions!$B$4),1,0)</f>
        <v/>
      </c>
      <c r="L1072" s="3">
        <f>I1072*K1072</f>
        <v/>
      </c>
      <c r="M1072">
        <f>SUM($K$2:K1072)</f>
        <v/>
      </c>
    </row>
    <row r="1073">
      <c r="A1073" t="inlineStr">
        <is>
          <t>100177</t>
        </is>
      </c>
      <c r="B1073" t="inlineStr">
        <is>
          <t>Cape Canaveral Hospital</t>
        </is>
      </c>
      <c r="C1073" t="inlineStr">
        <is>
          <t>FL</t>
        </is>
      </c>
      <c r="D1073" t="inlineStr">
        <is>
          <t>Metropolitan</t>
        </is>
      </c>
      <c r="E1073" s="5" t="n">
        <v>1156</v>
      </c>
      <c r="F1073" s="4" t="n">
        <v>0.5908304498269896</v>
      </c>
      <c r="G1073" s="4" t="n">
        <v>0.5825212526864916</v>
      </c>
      <c r="H1073" s="3" t="n">
        <v>16996652.83815891</v>
      </c>
      <c r="I1073" s="3" t="n">
        <v>-48767.05180385336</v>
      </c>
      <c r="J1073" s="4" t="n">
        <v>-0.0028692150312305</v>
      </c>
      <c r="K1073">
        <f>IF(AND(I1073&gt;0,J1073&gt;=Assumptions!$B$4),1,0)</f>
        <v/>
      </c>
      <c r="L1073" s="3">
        <f>I1073*K1073</f>
        <v/>
      </c>
      <c r="M1073">
        <f>SUM($K$2:K1073)</f>
        <v/>
      </c>
    </row>
    <row r="1074">
      <c r="A1074" t="inlineStr">
        <is>
          <t>440156</t>
        </is>
      </c>
      <c r="B1074" t="inlineStr">
        <is>
          <t>Parkridge Medical Center</t>
        </is>
      </c>
      <c r="C1074" t="inlineStr">
        <is>
          <t>TN</t>
        </is>
      </c>
      <c r="D1074" t="inlineStr">
        <is>
          <t>Metropolitan</t>
        </is>
      </c>
      <c r="E1074" s="5" t="n">
        <v>1833</v>
      </c>
      <c r="F1074" s="4" t="n">
        <v>0.5668303327877796</v>
      </c>
      <c r="G1074" s="4" t="n">
        <v>0.5354056592934864</v>
      </c>
      <c r="H1074" s="3" t="n">
        <v>32894681.83526315</v>
      </c>
      <c r="I1074" s="3" t="n">
        <v>-48839.10531433299</v>
      </c>
      <c r="J1074" s="4" t="n">
        <v>-0.0014847112843018</v>
      </c>
      <c r="K1074">
        <f>IF(AND(I1074&gt;0,J1074&gt;=Assumptions!$B$4),1,0)</f>
        <v/>
      </c>
      <c r="L1074" s="3">
        <f>I1074*K1074</f>
        <v/>
      </c>
      <c r="M1074">
        <f>SUM($K$2:K1074)</f>
        <v/>
      </c>
    </row>
    <row r="1075">
      <c r="A1075" t="inlineStr">
        <is>
          <t>150010</t>
        </is>
      </c>
      <c r="B1075" t="inlineStr">
        <is>
          <t>Ascension St Vincent Kokomo</t>
        </is>
      </c>
      <c r="C1075" t="inlineStr">
        <is>
          <t>IN</t>
        </is>
      </c>
      <c r="D1075" t="inlineStr">
        <is>
          <t>Metropolitan</t>
        </is>
      </c>
      <c r="E1075" s="5" t="n">
        <v>557</v>
      </c>
      <c r="F1075" s="4" t="n">
        <v>0.7324955116696589</v>
      </c>
      <c r="G1075" s="4" t="n">
        <v>0.7261587265829812</v>
      </c>
      <c r="H1075" s="3" t="n">
        <v>7330118.50802249</v>
      </c>
      <c r="I1075" s="3" t="n">
        <v>-49346.6547550885</v>
      </c>
      <c r="J1075" s="4" t="n">
        <v>-0.00673204051218</v>
      </c>
      <c r="K1075">
        <f>IF(AND(I1075&gt;0,J1075&gt;=Assumptions!$B$4),1,0)</f>
        <v/>
      </c>
      <c r="L1075" s="3">
        <f>I1075*K1075</f>
        <v/>
      </c>
      <c r="M1075">
        <f>SUM($K$2:K1075)</f>
        <v/>
      </c>
    </row>
    <row r="1076">
      <c r="A1076" t="inlineStr">
        <is>
          <t>440050</t>
        </is>
      </c>
      <c r="B1076" t="inlineStr">
        <is>
          <t>Greeneville Community Hospital</t>
        </is>
      </c>
      <c r="C1076" t="inlineStr">
        <is>
          <t>TN</t>
        </is>
      </c>
      <c r="D1076" t="inlineStr">
        <is>
          <t>Micropolitan</t>
        </is>
      </c>
      <c r="E1076" s="5" t="n">
        <v>601</v>
      </c>
      <c r="F1076" s="4" t="n">
        <v>0.697171381031614</v>
      </c>
      <c r="G1076" s="4" t="n">
        <v>0.6888337200821141</v>
      </c>
      <c r="H1076" s="3" t="n">
        <v>8522585.556498265</v>
      </c>
      <c r="I1076" s="3" t="n">
        <v>-50341.4016189687</v>
      </c>
      <c r="J1076" s="4" t="n">
        <v>-0.0059068226754948</v>
      </c>
      <c r="K1076">
        <f>IF(AND(I1076&gt;0,J1076&gt;=Assumptions!$B$4),1,0)</f>
        <v/>
      </c>
      <c r="L1076" s="3">
        <f>I1076*K1076</f>
        <v/>
      </c>
      <c r="M1076">
        <f>SUM($K$2:K1076)</f>
        <v/>
      </c>
    </row>
    <row r="1077">
      <c r="A1077" t="inlineStr">
        <is>
          <t>440144</t>
        </is>
      </c>
      <c r="B1077" t="inlineStr">
        <is>
          <t>Vanderbilt Tullahoma-Harton Hospital</t>
        </is>
      </c>
      <c r="C1077" t="inlineStr">
        <is>
          <t>TN</t>
        </is>
      </c>
      <c r="D1077" t="inlineStr">
        <is>
          <t>Micropolitan</t>
        </is>
      </c>
      <c r="E1077" s="5" t="n">
        <v>693</v>
      </c>
      <c r="F1077" s="4" t="n">
        <v>0.6897546897546898</v>
      </c>
      <c r="G1077" s="4" t="n">
        <v>0.6973276311837945</v>
      </c>
      <c r="H1077" s="3" t="n">
        <v>9118248.168894658</v>
      </c>
      <c r="I1077" s="3" t="n">
        <v>-50504.76791075245</v>
      </c>
      <c r="J1077" s="4" t="n">
        <v>-0.0055388674419984</v>
      </c>
      <c r="K1077">
        <f>IF(AND(I1077&gt;0,J1077&gt;=Assumptions!$B$4),1,0)</f>
        <v/>
      </c>
      <c r="L1077" s="3">
        <f>I1077*K1077</f>
        <v/>
      </c>
      <c r="M1077">
        <f>SUM($K$2:K1077)</f>
        <v/>
      </c>
    </row>
    <row r="1078">
      <c r="A1078" t="inlineStr">
        <is>
          <t>360054</t>
        </is>
      </c>
      <c r="B1078" t="inlineStr">
        <is>
          <t>Holzer Medical Center</t>
        </is>
      </c>
      <c r="C1078" t="inlineStr">
        <is>
          <t>OH</t>
        </is>
      </c>
      <c r="D1078" t="inlineStr">
        <is>
          <t>Micropolitan</t>
        </is>
      </c>
      <c r="E1078" s="5" t="n">
        <v>519</v>
      </c>
      <c r="F1078" s="4" t="n">
        <v>0.6955684007707129</v>
      </c>
      <c r="G1078" s="4" t="n">
        <v>0.6684562260879887</v>
      </c>
      <c r="H1078" s="3" t="n">
        <v>6499639.54914209</v>
      </c>
      <c r="I1078" s="3" t="n">
        <v>-50906.32444724347</v>
      </c>
      <c r="J1078" s="4" t="n">
        <v>-0.0078321765479999</v>
      </c>
      <c r="K1078">
        <f>IF(AND(I1078&gt;0,J1078&gt;=Assumptions!$B$4),1,0)</f>
        <v/>
      </c>
      <c r="L1078" s="3">
        <f>I1078*K1078</f>
        <v/>
      </c>
      <c r="M1078">
        <f>SUM($K$2:K1078)</f>
        <v/>
      </c>
    </row>
    <row r="1079">
      <c r="A1079" t="inlineStr">
        <is>
          <t>050488</t>
        </is>
      </c>
      <c r="B1079" t="inlineStr">
        <is>
          <t>Eden Medical Center</t>
        </is>
      </c>
      <c r="C1079" t="inlineStr">
        <is>
          <t>CA</t>
        </is>
      </c>
      <c r="D1079" t="inlineStr">
        <is>
          <t>Metropolitan</t>
        </is>
      </c>
      <c r="E1079" s="5" t="n">
        <v>1552</v>
      </c>
      <c r="F1079" s="4" t="n">
        <v>0.6559278350515464</v>
      </c>
      <c r="G1079" s="4" t="n">
        <v>0.6438515142293416</v>
      </c>
      <c r="H1079" s="3" t="n">
        <v>23569969.81682791</v>
      </c>
      <c r="I1079" s="3" t="n">
        <v>-51932.74472873658</v>
      </c>
      <c r="J1079" s="4" t="n">
        <v>-0.0022033437094882</v>
      </c>
      <c r="K1079">
        <f>IF(AND(I1079&gt;0,J1079&gt;=Assumptions!$B$4),1,0)</f>
        <v/>
      </c>
      <c r="L1079" s="3">
        <f>I1079*K1079</f>
        <v/>
      </c>
      <c r="M1079">
        <f>SUM($K$2:K1079)</f>
        <v/>
      </c>
    </row>
    <row r="1080">
      <c r="A1080" t="inlineStr">
        <is>
          <t>110225</t>
        </is>
      </c>
      <c r="B1080" t="inlineStr">
        <is>
          <t>Piedmont Mountainside Hospital Inc</t>
        </is>
      </c>
      <c r="C1080" t="inlineStr">
        <is>
          <t>GA</t>
        </is>
      </c>
      <c r="D1080" t="inlineStr">
        <is>
          <t>Small town</t>
        </is>
      </c>
      <c r="E1080" s="5" t="n">
        <v>846</v>
      </c>
      <c r="F1080" s="4" t="n">
        <v>0.6855791962174941</v>
      </c>
      <c r="G1080" s="4" t="n">
        <v>0.6741950961993771</v>
      </c>
      <c r="H1080" s="3" t="n">
        <v>11903967.47993079</v>
      </c>
      <c r="I1080" s="3" t="n">
        <v>-53225.85953426361</v>
      </c>
      <c r="J1080" s="4" t="n">
        <v>-0.0044712705763014</v>
      </c>
      <c r="K1080">
        <f>IF(AND(I1080&gt;0,J1080&gt;=Assumptions!$B$4),1,0)</f>
        <v/>
      </c>
      <c r="L1080" s="3">
        <f>I1080*K1080</f>
        <v/>
      </c>
      <c r="M1080">
        <f>SUM($K$2:K1080)</f>
        <v/>
      </c>
    </row>
    <row r="1081">
      <c r="A1081" t="inlineStr">
        <is>
          <t>330350</t>
        </is>
      </c>
      <c r="B1081" t="inlineStr">
        <is>
          <t>Suny Health Science Center At Brooklyn University</t>
        </is>
      </c>
      <c r="C1081" t="inlineStr">
        <is>
          <t>NY</t>
        </is>
      </c>
      <c r="D1081" t="inlineStr">
        <is>
          <t>Metropolitan</t>
        </is>
      </c>
      <c r="E1081" s="5" t="n">
        <v>467</v>
      </c>
      <c r="F1081" s="4" t="n">
        <v>0.6445396145610278</v>
      </c>
      <c r="G1081" s="4" t="n">
        <v>0.666568684380093</v>
      </c>
      <c r="H1081" s="3" t="n">
        <v>7466092.862244429</v>
      </c>
      <c r="I1081" s="3" t="n">
        <v>-53295.1099082334</v>
      </c>
      <c r="J1081" s="4" t="n">
        <v>-0.0071382865029369</v>
      </c>
      <c r="K1081">
        <f>IF(AND(I1081&gt;0,J1081&gt;=Assumptions!$B$4),1,0)</f>
        <v/>
      </c>
      <c r="L1081" s="3">
        <f>I1081*K1081</f>
        <v/>
      </c>
      <c r="M1081">
        <f>SUM($K$2:K1081)</f>
        <v/>
      </c>
    </row>
    <row r="1082">
      <c r="A1082" t="inlineStr">
        <is>
          <t>180116</t>
        </is>
      </c>
      <c r="B1082" t="inlineStr">
        <is>
          <t>Jackson Purchase Medical Center</t>
        </is>
      </c>
      <c r="C1082" t="inlineStr">
        <is>
          <t>KY</t>
        </is>
      </c>
      <c r="D1082" t="inlineStr">
        <is>
          <t>Micropolitan</t>
        </is>
      </c>
      <c r="E1082" s="5" t="n">
        <v>304</v>
      </c>
      <c r="F1082" s="4" t="n">
        <v>0.7368421052631579</v>
      </c>
      <c r="G1082" s="4" t="n">
        <v>0.7152205225963483</v>
      </c>
      <c r="H1082" s="3" t="n">
        <v>3586621.530334637</v>
      </c>
      <c r="I1082" s="3" t="n">
        <v>-53493.71195532382</v>
      </c>
      <c r="J1082" s="4" t="n">
        <v>-0.0149147913998979</v>
      </c>
      <c r="K1082">
        <f>IF(AND(I1082&gt;0,J1082&gt;=Assumptions!$B$4),1,0)</f>
        <v/>
      </c>
      <c r="L1082" s="3">
        <f>I1082*K1082</f>
        <v/>
      </c>
      <c r="M1082">
        <f>SUM($K$2:K1082)</f>
        <v/>
      </c>
    </row>
    <row r="1083">
      <c r="A1083" t="inlineStr">
        <is>
          <t>490122</t>
        </is>
      </c>
      <c r="B1083" t="inlineStr">
        <is>
          <t>Inova Mount Vernon Hospital</t>
        </is>
      </c>
      <c r="C1083" t="inlineStr">
        <is>
          <t>VA</t>
        </is>
      </c>
      <c r="D1083" t="inlineStr">
        <is>
          <t>Metropolitan</t>
        </is>
      </c>
      <c r="E1083" s="5" t="n">
        <v>1085</v>
      </c>
      <c r="F1083" s="4" t="n">
        <v>0.5658986175115207</v>
      </c>
      <c r="G1083" s="4" t="n">
        <v>0.5474393699949111</v>
      </c>
      <c r="H1083" s="3" t="n">
        <v>16698938.0413859</v>
      </c>
      <c r="I1083" s="3" t="n">
        <v>-53687.86169210076</v>
      </c>
      <c r="J1083" s="4" t="n">
        <v>-0.0032150464633764</v>
      </c>
      <c r="K1083">
        <f>IF(AND(I1083&gt;0,J1083&gt;=Assumptions!$B$4),1,0)</f>
        <v/>
      </c>
      <c r="L1083" s="3">
        <f>I1083*K1083</f>
        <v/>
      </c>
      <c r="M1083">
        <f>SUM($K$2:K1083)</f>
        <v/>
      </c>
    </row>
    <row r="1084">
      <c r="A1084" t="inlineStr">
        <is>
          <t>050140</t>
        </is>
      </c>
      <c r="B1084" t="inlineStr">
        <is>
          <t>Kaiser Foundation Hospital Fontana</t>
        </is>
      </c>
      <c r="C1084" t="inlineStr">
        <is>
          <t>CA</t>
        </is>
      </c>
      <c r="D1084" t="inlineStr">
        <is>
          <t>Metropolitan</t>
        </is>
      </c>
      <c r="E1084" s="5" t="n">
        <v>369</v>
      </c>
      <c r="F1084" s="4" t="n">
        <v>0.7750677506775068</v>
      </c>
      <c r="G1084" s="4" t="n">
        <v>0.7632390074030644</v>
      </c>
      <c r="H1084" s="3" t="n">
        <v>5690471.39648657</v>
      </c>
      <c r="I1084" s="3" t="n">
        <v>-53852.69560800679</v>
      </c>
      <c r="J1084" s="4" t="n">
        <v>-0.009463661594232099</v>
      </c>
      <c r="K1084">
        <f>IF(AND(I1084&gt;0,J1084&gt;=Assumptions!$B$4),1,0)</f>
        <v/>
      </c>
      <c r="L1084" s="3">
        <f>I1084*K1084</f>
        <v/>
      </c>
      <c r="M1084">
        <f>SUM($K$2:K1084)</f>
        <v/>
      </c>
    </row>
    <row r="1085">
      <c r="A1085" t="inlineStr">
        <is>
          <t>290021</t>
        </is>
      </c>
      <c r="B1085" t="inlineStr">
        <is>
          <t>Valley Hospital Medical Center</t>
        </is>
      </c>
      <c r="C1085" t="inlineStr">
        <is>
          <t>NV</t>
        </is>
      </c>
      <c r="D1085" t="inlineStr">
        <is>
          <t>Metropolitan</t>
        </is>
      </c>
      <c r="E1085" s="5" t="n">
        <v>1370</v>
      </c>
      <c r="F1085" s="4" t="n">
        <v>0.5744525547445255</v>
      </c>
      <c r="G1085" s="4" t="n">
        <v>0.5874876351143931</v>
      </c>
      <c r="H1085" s="3" t="n">
        <v>20819513.83484521</v>
      </c>
      <c r="I1085" s="3" t="n">
        <v>-54366.98846250772</v>
      </c>
      <c r="J1085" s="4" t="n">
        <v>-0.0026113476469135</v>
      </c>
      <c r="K1085">
        <f>IF(AND(I1085&gt;0,J1085&gt;=Assumptions!$B$4),1,0)</f>
        <v/>
      </c>
      <c r="L1085" s="3">
        <f>I1085*K1085</f>
        <v/>
      </c>
      <c r="M1085">
        <f>SUM($K$2:K1085)</f>
        <v/>
      </c>
    </row>
    <row r="1086">
      <c r="A1086" t="inlineStr">
        <is>
          <t>360010</t>
        </is>
      </c>
      <c r="B1086" t="inlineStr">
        <is>
          <t>Union Hospital</t>
        </is>
      </c>
      <c r="C1086" t="inlineStr">
        <is>
          <t>OH</t>
        </is>
      </c>
      <c r="D1086" t="inlineStr">
        <is>
          <t>Micropolitan</t>
        </is>
      </c>
      <c r="E1086" s="5" t="n">
        <v>578</v>
      </c>
      <c r="F1086" s="4" t="n">
        <v>0.7681660899653979</v>
      </c>
      <c r="G1086" s="4" t="n">
        <v>0.732812791294317</v>
      </c>
      <c r="H1086" s="3" t="n">
        <v>7470609.879632727</v>
      </c>
      <c r="I1086" s="3" t="n">
        <v>-54686.6480966229</v>
      </c>
      <c r="J1086" s="4" t="n">
        <v>-0.0073202387727026</v>
      </c>
      <c r="K1086">
        <f>IF(AND(I1086&gt;0,J1086&gt;=Assumptions!$B$4),1,0)</f>
        <v/>
      </c>
      <c r="L1086" s="3">
        <f>I1086*K1086</f>
        <v/>
      </c>
      <c r="M1086">
        <f>SUM($K$2:K1086)</f>
        <v/>
      </c>
    </row>
    <row r="1087">
      <c r="A1087" t="inlineStr">
        <is>
          <t>450484</t>
        </is>
      </c>
      <c r="B1087" t="inlineStr">
        <is>
          <t>Woodland Heights Medical Center</t>
        </is>
      </c>
      <c r="C1087" t="inlineStr">
        <is>
          <t>TX</t>
        </is>
      </c>
      <c r="D1087" t="inlineStr">
        <is>
          <t>Micropolitan</t>
        </is>
      </c>
      <c r="E1087" s="5" t="n">
        <v>1042</v>
      </c>
      <c r="F1087" s="4" t="n">
        <v>0.6602687140115163</v>
      </c>
      <c r="G1087" s="4" t="n">
        <v>0.615845762777988</v>
      </c>
      <c r="H1087" s="3" t="n">
        <v>14397293.7953628</v>
      </c>
      <c r="I1087" s="3" t="n">
        <v>-54735.14354848489</v>
      </c>
      <c r="J1087" s="4" t="n">
        <v>-0.0038017661045518</v>
      </c>
      <c r="K1087">
        <f>IF(AND(I1087&gt;0,J1087&gt;=Assumptions!$B$4),1,0)</f>
        <v/>
      </c>
      <c r="L1087" s="3">
        <f>I1087*K1087</f>
        <v/>
      </c>
      <c r="M1087">
        <f>SUM($K$2:K1087)</f>
        <v/>
      </c>
    </row>
    <row r="1088">
      <c r="A1088" t="inlineStr">
        <is>
          <t>360147</t>
        </is>
      </c>
      <c r="B1088" t="inlineStr">
        <is>
          <t>Marietta Memorial Hospital</t>
        </is>
      </c>
      <c r="C1088" t="inlineStr">
        <is>
          <t>OH</t>
        </is>
      </c>
      <c r="D1088" t="inlineStr">
        <is>
          <t>Micropolitan</t>
        </is>
      </c>
      <c r="E1088" s="5" t="n">
        <v>2113</v>
      </c>
      <c r="F1088" s="4" t="n">
        <v>0.616658778987222</v>
      </c>
      <c r="G1088" s="4" t="n">
        <v>0.6332314952169436</v>
      </c>
      <c r="H1088" s="3" t="n">
        <v>33915711.52036998</v>
      </c>
      <c r="I1088" s="3" t="n">
        <v>-55753.57372641563</v>
      </c>
      <c r="J1088" s="4" t="n">
        <v>-0.001643886305995</v>
      </c>
      <c r="K1088">
        <f>IF(AND(I1088&gt;0,J1088&gt;=Assumptions!$B$4),1,0)</f>
        <v/>
      </c>
      <c r="L1088" s="3">
        <f>I1088*K1088</f>
        <v/>
      </c>
      <c r="M1088">
        <f>SUM($K$2:K1088)</f>
        <v/>
      </c>
    </row>
    <row r="1089">
      <c r="A1089" t="inlineStr">
        <is>
          <t>210018</t>
        </is>
      </c>
      <c r="B1089" t="inlineStr">
        <is>
          <t>Medstar Montgomery Medical Center</t>
        </is>
      </c>
      <c r="C1089" t="inlineStr">
        <is>
          <t>MD</t>
        </is>
      </c>
      <c r="D1089" t="inlineStr">
        <is>
          <t>Metropolitan</t>
        </is>
      </c>
      <c r="E1089" s="5" t="n">
        <v>1788</v>
      </c>
      <c r="F1089" s="4" t="n">
        <v>0.6085011185682326</v>
      </c>
      <c r="G1089" s="4" t="n">
        <v>0.6148532271899055</v>
      </c>
      <c r="H1089" s="3" t="n">
        <v>25210518.44053193</v>
      </c>
      <c r="I1089" s="3" t="n">
        <v>-57066.71303455159</v>
      </c>
      <c r="J1089" s="4" t="n">
        <v>-0.0022636072784129</v>
      </c>
      <c r="K1089">
        <f>IF(AND(I1089&gt;0,J1089&gt;=Assumptions!$B$4),1,0)</f>
        <v/>
      </c>
      <c r="L1089" s="3">
        <f>I1089*K1089</f>
        <v/>
      </c>
      <c r="M1089">
        <f>SUM($K$2:K1089)</f>
        <v/>
      </c>
    </row>
    <row r="1090">
      <c r="A1090" t="inlineStr">
        <is>
          <t>450133</t>
        </is>
      </c>
      <c r="B1090" t="inlineStr">
        <is>
          <t>Midland Memorial Hospital</t>
        </is>
      </c>
      <c r="C1090" t="inlineStr">
        <is>
          <t>TX</t>
        </is>
      </c>
      <c r="D1090" t="inlineStr">
        <is>
          <t>Metropolitan</t>
        </is>
      </c>
      <c r="E1090" s="5" t="n">
        <v>1167</v>
      </c>
      <c r="F1090" s="4" t="n">
        <v>0.6658097686375322</v>
      </c>
      <c r="G1090" s="4" t="n">
        <v>0.6392337309781774</v>
      </c>
      <c r="H1090" s="3" t="n">
        <v>16335906.58028005</v>
      </c>
      <c r="I1090" s="3" t="n">
        <v>-58223.63167691231</v>
      </c>
      <c r="J1090" s="4" t="n">
        <v>-0.003564150626767</v>
      </c>
      <c r="K1090">
        <f>IF(AND(I1090&gt;0,J1090&gt;=Assumptions!$B$4),1,0)</f>
        <v/>
      </c>
      <c r="L1090" s="3">
        <f>I1090*K1090</f>
        <v/>
      </c>
      <c r="M1090">
        <f>SUM($K$2:K1090)</f>
        <v/>
      </c>
    </row>
    <row r="1091">
      <c r="A1091" t="inlineStr">
        <is>
          <t>120006</t>
        </is>
      </c>
      <c r="B1091" t="inlineStr">
        <is>
          <t>Adventist Health Castle</t>
        </is>
      </c>
      <c r="C1091" t="inlineStr">
        <is>
          <t>HI</t>
        </is>
      </c>
      <c r="D1091" t="inlineStr">
        <is>
          <t>Metropolitan</t>
        </is>
      </c>
      <c r="E1091" s="5" t="n">
        <v>597</v>
      </c>
      <c r="F1091" s="4" t="n">
        <v>0.711892797319933</v>
      </c>
      <c r="G1091" s="4" t="n">
        <v>0.6821632865696231</v>
      </c>
      <c r="H1091" s="3" t="n">
        <v>9068734.16082135</v>
      </c>
      <c r="I1091" s="3" t="n">
        <v>-58253.93398108147</v>
      </c>
      <c r="J1091" s="4" t="n">
        <v>-0.0064236014583765</v>
      </c>
      <c r="K1091">
        <f>IF(AND(I1091&gt;0,J1091&gt;=Assumptions!$B$4),1,0)</f>
        <v/>
      </c>
      <c r="L1091" s="3">
        <f>I1091*K1091</f>
        <v/>
      </c>
      <c r="M1091">
        <f>SUM($K$2:K1091)</f>
        <v/>
      </c>
    </row>
    <row r="1092">
      <c r="A1092" t="inlineStr">
        <is>
          <t>420010</t>
        </is>
      </c>
      <c r="B1092" t="inlineStr">
        <is>
          <t>Carolina Pines Regional Medical Center</t>
        </is>
      </c>
      <c r="C1092" t="inlineStr">
        <is>
          <t>SC</t>
        </is>
      </c>
      <c r="D1092" t="inlineStr">
        <is>
          <t>Micropolitan</t>
        </is>
      </c>
      <c r="E1092" s="5" t="n">
        <v>359</v>
      </c>
      <c r="F1092" s="4" t="n">
        <v>0.8077994428969359</v>
      </c>
      <c r="G1092" s="4" t="n">
        <v>0.7641257256275434</v>
      </c>
      <c r="H1092" s="3" t="n">
        <v>4909102.499323922</v>
      </c>
      <c r="I1092" s="3" t="n">
        <v>-58447.05210235622</v>
      </c>
      <c r="J1092" s="4" t="n">
        <v>-0.0119058528744114</v>
      </c>
      <c r="K1092">
        <f>IF(AND(I1092&gt;0,J1092&gt;=Assumptions!$B$4),1,0)</f>
        <v/>
      </c>
      <c r="L1092" s="3">
        <f>I1092*K1092</f>
        <v/>
      </c>
      <c r="M1092">
        <f>SUM($K$2:K1092)</f>
        <v/>
      </c>
    </row>
    <row r="1093">
      <c r="A1093" t="inlineStr">
        <is>
          <t>330136</t>
        </is>
      </c>
      <c r="B1093" t="inlineStr">
        <is>
          <t>Mary Imogene Bassett Hospital</t>
        </is>
      </c>
      <c r="C1093" t="inlineStr">
        <is>
          <t>NY</t>
        </is>
      </c>
      <c r="D1093" t="inlineStr">
        <is>
          <t>Rural</t>
        </is>
      </c>
      <c r="E1093" s="5" t="n">
        <v>1427</v>
      </c>
      <c r="F1093" s="4" t="n">
        <v>0.5704274702172389</v>
      </c>
      <c r="G1093" s="4" t="n">
        <v>0.5818691644034262</v>
      </c>
      <c r="H1093" s="3" t="n">
        <v>22714958.12358354</v>
      </c>
      <c r="I1093" s="3" t="n">
        <v>-58905.35788523778</v>
      </c>
      <c r="J1093" s="4" t="n">
        <v>-0.002593240875231</v>
      </c>
      <c r="K1093">
        <f>IF(AND(I1093&gt;0,J1093&gt;=Assumptions!$B$4),1,0)</f>
        <v/>
      </c>
      <c r="L1093" s="3">
        <f>I1093*K1093</f>
        <v/>
      </c>
      <c r="M1093">
        <f>SUM($K$2:K1093)</f>
        <v/>
      </c>
    </row>
    <row r="1094">
      <c r="A1094" t="inlineStr">
        <is>
          <t>050633</t>
        </is>
      </c>
      <c r="B1094" t="inlineStr">
        <is>
          <t>Tenet Health Central Coast Twin Cities Comm Hosp</t>
        </is>
      </c>
      <c r="C1094" t="inlineStr">
        <is>
          <t>CA</t>
        </is>
      </c>
      <c r="D1094" t="inlineStr">
        <is>
          <t>Metropolitan</t>
        </is>
      </c>
      <c r="E1094" s="5" t="n">
        <v>839</v>
      </c>
      <c r="F1094" s="4" t="n">
        <v>0.6579261025029798</v>
      </c>
      <c r="G1094" s="4" t="n">
        <v>0.6312726108282899</v>
      </c>
      <c r="H1094" s="3" t="n">
        <v>10729850.51058281</v>
      </c>
      <c r="I1094" s="3" t="n">
        <v>-60872.03748060577</v>
      </c>
      <c r="J1094" s="4" t="n">
        <v>-0.0056731487004938</v>
      </c>
      <c r="K1094">
        <f>IF(AND(I1094&gt;0,J1094&gt;=Assumptions!$B$4),1,0)</f>
        <v/>
      </c>
      <c r="L1094" s="3">
        <f>I1094*K1094</f>
        <v/>
      </c>
      <c r="M1094">
        <f>SUM($K$2:K1094)</f>
        <v/>
      </c>
    </row>
    <row r="1095">
      <c r="A1095" t="inlineStr">
        <is>
          <t>210056</t>
        </is>
      </c>
      <c r="B1095" t="inlineStr">
        <is>
          <t>Medstar Good Samaritan Hospital</t>
        </is>
      </c>
      <c r="C1095" t="inlineStr">
        <is>
          <t>MD</t>
        </is>
      </c>
      <c r="D1095" t="inlineStr">
        <is>
          <t>Metropolitan</t>
        </is>
      </c>
      <c r="E1095" s="5" t="n">
        <v>2989</v>
      </c>
      <c r="F1095" s="4" t="n">
        <v>0.5764469722315155</v>
      </c>
      <c r="G1095" s="4" t="n">
        <v>0.5856527290609334</v>
      </c>
      <c r="H1095" s="3" t="n">
        <v>46528496.82265415</v>
      </c>
      <c r="I1095" s="3" t="n">
        <v>-60922.61497270316</v>
      </c>
      <c r="J1095" s="4" t="n">
        <v>-0.0013093613405331</v>
      </c>
      <c r="K1095">
        <f>IF(AND(I1095&gt;0,J1095&gt;=Assumptions!$B$4),1,0)</f>
        <v/>
      </c>
      <c r="L1095" s="3">
        <f>I1095*K1095</f>
        <v/>
      </c>
      <c r="M1095">
        <f>SUM($K$2:K1095)</f>
        <v/>
      </c>
    </row>
    <row r="1096">
      <c r="A1096" t="inlineStr">
        <is>
          <t>160112</t>
        </is>
      </c>
      <c r="B1096" t="inlineStr">
        <is>
          <t>Spencer Municipal Hospital</t>
        </is>
      </c>
      <c r="C1096" t="inlineStr">
        <is>
          <t>IA</t>
        </is>
      </c>
      <c r="D1096" t="inlineStr">
        <is>
          <t>Micropolitan</t>
        </is>
      </c>
      <c r="E1096" s="5" t="n">
        <v>342</v>
      </c>
      <c r="F1096" s="4" t="n">
        <v>0.6549707602339181</v>
      </c>
      <c r="G1096" s="4" t="n">
        <v>0.6206978840685631</v>
      </c>
      <c r="H1096" s="3" t="n">
        <v>5126099.844949404</v>
      </c>
      <c r="I1096" s="3" t="n">
        <v>-61639.64849392232</v>
      </c>
      <c r="J1096" s="4" t="n">
        <v>-0.0120246679460709</v>
      </c>
      <c r="K1096">
        <f>IF(AND(I1096&gt;0,J1096&gt;=Assumptions!$B$4),1,0)</f>
        <v/>
      </c>
      <c r="L1096" s="3">
        <f>I1096*K1096</f>
        <v/>
      </c>
      <c r="M1096">
        <f>SUM($K$2:K1096)</f>
        <v/>
      </c>
    </row>
    <row r="1097">
      <c r="A1097" t="inlineStr">
        <is>
          <t>010114</t>
        </is>
      </c>
      <c r="B1097" t="inlineStr">
        <is>
          <t>Medical West, An Affiliate Of Uab Health System</t>
        </is>
      </c>
      <c r="C1097" t="inlineStr">
        <is>
          <t>AL</t>
        </is>
      </c>
      <c r="D1097" t="inlineStr">
        <is>
          <t>Metropolitan</t>
        </is>
      </c>
      <c r="E1097" s="5" t="n">
        <v>440</v>
      </c>
      <c r="F1097" s="4" t="n">
        <v>0.6590909090909091</v>
      </c>
      <c r="G1097" s="4" t="n">
        <v>0.6690967266231651</v>
      </c>
      <c r="H1097" s="3" t="n">
        <v>6044385.665608367</v>
      </c>
      <c r="I1097" s="3" t="n">
        <v>-62119.13998858538</v>
      </c>
      <c r="J1097" s="4" t="n">
        <v>-0.0102771635407108</v>
      </c>
      <c r="K1097">
        <f>IF(AND(I1097&gt;0,J1097&gt;=Assumptions!$B$4),1,0)</f>
        <v/>
      </c>
      <c r="L1097" s="3">
        <f>I1097*K1097</f>
        <v/>
      </c>
      <c r="M1097">
        <f>SUM($K$2:K1097)</f>
        <v/>
      </c>
    </row>
    <row r="1098">
      <c r="A1098" t="inlineStr">
        <is>
          <t>520113</t>
        </is>
      </c>
      <c r="B1098" t="inlineStr">
        <is>
          <t>Aurora Medical Center Bay Area</t>
        </is>
      </c>
      <c r="C1098" t="inlineStr">
        <is>
          <t>WI</t>
        </is>
      </c>
      <c r="D1098" t="inlineStr">
        <is>
          <t>Micropolitan</t>
        </is>
      </c>
      <c r="E1098" s="5" t="n">
        <v>450</v>
      </c>
      <c r="F1098" s="4" t="n">
        <v>0.7288888888888889</v>
      </c>
      <c r="G1098" s="4" t="n">
        <v>0.7140439692660958</v>
      </c>
      <c r="H1098" s="3" t="n">
        <v>6013833.706419619</v>
      </c>
      <c r="I1098" s="3" t="n">
        <v>-62575.25833898503</v>
      </c>
      <c r="J1098" s="4" t="n">
        <v>-0.0104052192650733</v>
      </c>
      <c r="K1098">
        <f>IF(AND(I1098&gt;0,J1098&gt;=Assumptions!$B$4),1,0)</f>
        <v/>
      </c>
      <c r="L1098" s="3">
        <f>I1098*K1098</f>
        <v/>
      </c>
      <c r="M1098">
        <f>SUM($K$2:K1098)</f>
        <v/>
      </c>
    </row>
    <row r="1099">
      <c r="A1099" t="inlineStr">
        <is>
          <t>340075</t>
        </is>
      </c>
      <c r="B1099" t="inlineStr">
        <is>
          <t>Carolinas Healthcare System-Blue Ridge</t>
        </is>
      </c>
      <c r="C1099" t="inlineStr">
        <is>
          <t>NC</t>
        </is>
      </c>
      <c r="D1099" t="inlineStr">
        <is>
          <t>Metropolitan</t>
        </is>
      </c>
      <c r="E1099" s="5" t="n">
        <v>700</v>
      </c>
      <c r="F1099" s="4" t="n">
        <v>0.6871428571428572</v>
      </c>
      <c r="G1099" s="4" t="n">
        <v>0.6807515188776088</v>
      </c>
      <c r="H1099" s="3" t="n">
        <v>10144753.36821193</v>
      </c>
      <c r="I1099" s="3" t="n">
        <v>-63031.01176821068</v>
      </c>
      <c r="J1099" s="4" t="n">
        <v>-0.0062131635418279</v>
      </c>
      <c r="K1099">
        <f>IF(AND(I1099&gt;0,J1099&gt;=Assumptions!$B$4),1,0)</f>
        <v/>
      </c>
      <c r="L1099" s="3">
        <f>I1099*K1099</f>
        <v/>
      </c>
      <c r="M1099">
        <f>SUM($K$2:K1099)</f>
        <v/>
      </c>
    </row>
    <row r="1100">
      <c r="A1100" t="inlineStr">
        <is>
          <t>360066</t>
        </is>
      </c>
      <c r="B1100" t="inlineStr">
        <is>
          <t>Mercy Health-St Rita's Medical Center</t>
        </is>
      </c>
      <c r="C1100" t="inlineStr">
        <is>
          <t>OH</t>
        </is>
      </c>
      <c r="D1100" t="inlineStr">
        <is>
          <t>Metropolitan</t>
        </is>
      </c>
      <c r="E1100" s="5" t="n">
        <v>2792</v>
      </c>
      <c r="F1100" s="4" t="n">
        <v>0.5393982808022922</v>
      </c>
      <c r="G1100" s="4" t="n">
        <v>0.5567621261710457</v>
      </c>
      <c r="H1100" s="3" t="n">
        <v>43047799.02116744</v>
      </c>
      <c r="I1100" s="3" t="n">
        <v>-63536.94100130349</v>
      </c>
      <c r="J1100" s="4" t="n">
        <v>-0.0014759625914918</v>
      </c>
      <c r="K1100">
        <f>IF(AND(I1100&gt;0,J1100&gt;=Assumptions!$B$4),1,0)</f>
        <v/>
      </c>
      <c r="L1100" s="3">
        <f>I1100*K1100</f>
        <v/>
      </c>
      <c r="M1100">
        <f>SUM($K$2:K1100)</f>
        <v/>
      </c>
    </row>
    <row r="1101">
      <c r="A1101" t="inlineStr">
        <is>
          <t>440034</t>
        </is>
      </c>
      <c r="B1101" t="inlineStr">
        <is>
          <t>Methodist Medical Center Of Oak Ridge</t>
        </is>
      </c>
      <c r="C1101" t="inlineStr">
        <is>
          <t>TN</t>
        </is>
      </c>
      <c r="D1101" t="inlineStr">
        <is>
          <t>Metropolitan</t>
        </is>
      </c>
      <c r="E1101" s="5" t="n">
        <v>1133</v>
      </c>
      <c r="F1101" s="4" t="n">
        <v>0.706972639011474</v>
      </c>
      <c r="G1101" s="4" t="n">
        <v>0.6732874884138257</v>
      </c>
      <c r="H1101" s="3" t="n">
        <v>16117502.61979623</v>
      </c>
      <c r="I1101" s="3" t="n">
        <v>-63539.07471635193</v>
      </c>
      <c r="J1101" s="4" t="n">
        <v>-0.0039422406941823</v>
      </c>
      <c r="K1101">
        <f>IF(AND(I1101&gt;0,J1101&gt;=Assumptions!$B$4),1,0)</f>
        <v/>
      </c>
      <c r="L1101" s="3">
        <f>I1101*K1101</f>
        <v/>
      </c>
      <c r="M1101">
        <f>SUM($K$2:K1101)</f>
        <v/>
      </c>
    </row>
    <row r="1102">
      <c r="A1102" t="inlineStr">
        <is>
          <t>100032</t>
        </is>
      </c>
      <c r="B1102" t="inlineStr">
        <is>
          <t>Orlando Health Bayfront Hospital</t>
        </is>
      </c>
      <c r="C1102" t="inlineStr">
        <is>
          <t>FL</t>
        </is>
      </c>
      <c r="D1102" t="inlineStr">
        <is>
          <t>Metropolitan</t>
        </is>
      </c>
      <c r="E1102" s="5" t="n">
        <v>1233</v>
      </c>
      <c r="F1102" s="4" t="n">
        <v>0.4955393349553934</v>
      </c>
      <c r="G1102" s="4" t="n">
        <v>0.5153729126917874</v>
      </c>
      <c r="H1102" s="3" t="n">
        <v>17427097.57546368</v>
      </c>
      <c r="I1102" s="3" t="n">
        <v>-64151.2363736257</v>
      </c>
      <c r="J1102" s="4" t="n">
        <v>-0.0036811199395559</v>
      </c>
      <c r="K1102">
        <f>IF(AND(I1102&gt;0,J1102&gt;=Assumptions!$B$4),1,0)</f>
        <v/>
      </c>
      <c r="L1102" s="3">
        <f>I1102*K1102</f>
        <v/>
      </c>
      <c r="M1102">
        <f>SUM($K$2:K1102)</f>
        <v/>
      </c>
    </row>
    <row r="1103">
      <c r="A1103" t="inlineStr">
        <is>
          <t>210037</t>
        </is>
      </c>
      <c r="B1103" t="inlineStr">
        <is>
          <t>University Of Md Shore Medical Center At Easton</t>
        </is>
      </c>
      <c r="C1103" t="inlineStr">
        <is>
          <t>MD</t>
        </is>
      </c>
      <c r="D1103" t="inlineStr">
        <is>
          <t>Micropolitan</t>
        </is>
      </c>
      <c r="E1103" s="5" t="n">
        <v>1859</v>
      </c>
      <c r="F1103" s="4" t="n">
        <v>0.6180742334588488</v>
      </c>
      <c r="G1103" s="4" t="n">
        <v>0.6140904725697179</v>
      </c>
      <c r="H1103" s="3" t="n">
        <v>27973417.35341113</v>
      </c>
      <c r="I1103" s="3" t="n">
        <v>-64166.34233765677</v>
      </c>
      <c r="J1103" s="4" t="n">
        <v>-0.002293832803014</v>
      </c>
      <c r="K1103">
        <f>IF(AND(I1103&gt;0,J1103&gt;=Assumptions!$B$4),1,0)</f>
        <v/>
      </c>
      <c r="L1103" s="3">
        <f>I1103*K1103</f>
        <v/>
      </c>
      <c r="M1103">
        <f>SUM($K$2:K1103)</f>
        <v/>
      </c>
    </row>
    <row r="1104">
      <c r="A1104" t="inlineStr">
        <is>
          <t>460015</t>
        </is>
      </c>
      <c r="B1104" t="inlineStr">
        <is>
          <t>Logan Regional Hospital</t>
        </is>
      </c>
      <c r="C1104" t="inlineStr">
        <is>
          <t>UT</t>
        </is>
      </c>
      <c r="D1104" t="inlineStr">
        <is>
          <t>Metropolitan</t>
        </is>
      </c>
      <c r="E1104" s="5" t="n">
        <v>335</v>
      </c>
      <c r="F1104" s="4" t="n">
        <v>0.6955223880597015</v>
      </c>
      <c r="G1104" s="4" t="n">
        <v>0.7316656600758367</v>
      </c>
      <c r="H1104" s="3" t="n">
        <v>5333594.110581899</v>
      </c>
      <c r="I1104" s="3" t="n">
        <v>-64272.02558232192</v>
      </c>
      <c r="J1104" s="4" t="n">
        <v>-0.0120504155827691</v>
      </c>
      <c r="K1104">
        <f>IF(AND(I1104&gt;0,J1104&gt;=Assumptions!$B$4),1,0)</f>
        <v/>
      </c>
      <c r="L1104" s="3">
        <f>I1104*K1104</f>
        <v/>
      </c>
      <c r="M1104">
        <f>SUM($K$2:K1104)</f>
        <v/>
      </c>
    </row>
    <row r="1105">
      <c r="A1105" t="inlineStr">
        <is>
          <t>340129</t>
        </is>
      </c>
      <c r="B1105" t="inlineStr">
        <is>
          <t>Lake Norman Regional Medical Center</t>
        </is>
      </c>
      <c r="C1105" t="inlineStr">
        <is>
          <t>NC</t>
        </is>
      </c>
      <c r="D1105" t="inlineStr">
        <is>
          <t>Metropolitan</t>
        </is>
      </c>
      <c r="E1105" s="5" t="n">
        <v>395</v>
      </c>
      <c r="F1105" s="4" t="n">
        <v>0.7417721518987341</v>
      </c>
      <c r="G1105" s="4" t="n">
        <v>0.6802261432938377</v>
      </c>
      <c r="H1105" s="3" t="n">
        <v>5946767.636539055</v>
      </c>
      <c r="I1105" s="3" t="n">
        <v>-65253.94478436187</v>
      </c>
      <c r="J1105" s="4" t="n">
        <v>-0.0109730106795191</v>
      </c>
      <c r="K1105">
        <f>IF(AND(I1105&gt;0,J1105&gt;=Assumptions!$B$4),1,0)</f>
        <v/>
      </c>
      <c r="L1105" s="3">
        <f>I1105*K1105</f>
        <v/>
      </c>
      <c r="M1105">
        <f>SUM($K$2:K1105)</f>
        <v/>
      </c>
    </row>
    <row r="1106">
      <c r="A1106" t="inlineStr">
        <is>
          <t>260081</t>
        </is>
      </c>
      <c r="B1106" t="inlineStr">
        <is>
          <t>Ssm Health St Clare Hospital - Fenton</t>
        </is>
      </c>
      <c r="C1106" t="inlineStr">
        <is>
          <t>MO</t>
        </is>
      </c>
      <c r="D1106" t="inlineStr">
        <is>
          <t>Metropolitan</t>
        </is>
      </c>
      <c r="E1106" s="5" t="n">
        <v>1305</v>
      </c>
      <c r="F1106" s="4" t="n">
        <v>0.6551724137931034</v>
      </c>
      <c r="G1106" s="4" t="n">
        <v>0.6345588595739871</v>
      </c>
      <c r="H1106" s="3" t="n">
        <v>18275861.23388399</v>
      </c>
      <c r="I1106" s="3" t="n">
        <v>-65695.37327407673</v>
      </c>
      <c r="J1106" s="4" t="n">
        <v>-0.0035946526641532</v>
      </c>
      <c r="K1106">
        <f>IF(AND(I1106&gt;0,J1106&gt;=Assumptions!$B$4),1,0)</f>
        <v/>
      </c>
      <c r="L1106" s="3">
        <f>I1106*K1106</f>
        <v/>
      </c>
      <c r="M1106">
        <f>SUM($K$2:K1106)</f>
        <v/>
      </c>
    </row>
    <row r="1107">
      <c r="A1107" t="inlineStr">
        <is>
          <t>250069</t>
        </is>
      </c>
      <c r="B1107" t="inlineStr">
        <is>
          <t>Ochsner Rush Hospital</t>
        </is>
      </c>
      <c r="C1107" t="inlineStr">
        <is>
          <t>MS</t>
        </is>
      </c>
      <c r="D1107" t="inlineStr">
        <is>
          <t>Micropolitan</t>
        </is>
      </c>
      <c r="E1107" s="5" t="n">
        <v>608</v>
      </c>
      <c r="F1107" s="4" t="n">
        <v>0.6414473684210527</v>
      </c>
      <c r="G1107" s="4" t="n">
        <v>0.6035202826190338</v>
      </c>
      <c r="H1107" s="3" t="n">
        <v>9180645.576313335</v>
      </c>
      <c r="I1107" s="3" t="n">
        <v>-65853.47089910693</v>
      </c>
      <c r="J1107" s="4" t="n">
        <v>-0.0071730762669907</v>
      </c>
      <c r="K1107">
        <f>IF(AND(I1107&gt;0,J1107&gt;=Assumptions!$B$4),1,0)</f>
        <v/>
      </c>
      <c r="L1107" s="3">
        <f>I1107*K1107</f>
        <v/>
      </c>
      <c r="M1107">
        <f>SUM($K$2:K1107)</f>
        <v/>
      </c>
    </row>
    <row r="1108">
      <c r="A1108" t="inlineStr">
        <is>
          <t>050735</t>
        </is>
      </c>
      <c r="B1108" t="inlineStr">
        <is>
          <t>Whittier Hospital Medical Center</t>
        </is>
      </c>
      <c r="C1108" t="inlineStr">
        <is>
          <t>CA</t>
        </is>
      </c>
      <c r="D1108" t="inlineStr">
        <is>
          <t>Metropolitan</t>
        </is>
      </c>
      <c r="E1108" s="5" t="n">
        <v>427</v>
      </c>
      <c r="F1108" s="4" t="n">
        <v>0.7447306791569087</v>
      </c>
      <c r="G1108" s="4" t="n">
        <v>0.7169035762027054</v>
      </c>
      <c r="H1108" s="3" t="n">
        <v>5480726.143111031</v>
      </c>
      <c r="I1108" s="3" t="n">
        <v>-67362.10818796512</v>
      </c>
      <c r="J1108" s="4" t="n">
        <v>-0.0122907268907488</v>
      </c>
      <c r="K1108">
        <f>IF(AND(I1108&gt;0,J1108&gt;=Assumptions!$B$4),1,0)</f>
        <v/>
      </c>
      <c r="L1108" s="3">
        <f>I1108*K1108</f>
        <v/>
      </c>
      <c r="M1108">
        <f>SUM($K$2:K1108)</f>
        <v/>
      </c>
    </row>
    <row r="1109">
      <c r="A1109" t="inlineStr">
        <is>
          <t>160047</t>
        </is>
      </c>
      <c r="B1109" t="inlineStr">
        <is>
          <t>Methodist Jennie Edmundson</t>
        </is>
      </c>
      <c r="C1109" t="inlineStr">
        <is>
          <t>IA</t>
        </is>
      </c>
      <c r="D1109" t="inlineStr">
        <is>
          <t>Metropolitan</t>
        </is>
      </c>
      <c r="E1109" s="5" t="n">
        <v>929</v>
      </c>
      <c r="F1109" s="4" t="n">
        <v>0.604951560818084</v>
      </c>
      <c r="G1109" s="4" t="n">
        <v>0.6113736008567088</v>
      </c>
      <c r="H1109" s="3" t="n">
        <v>11982397.29142796</v>
      </c>
      <c r="I1109" s="3" t="n">
        <v>-67362.28135591559</v>
      </c>
      <c r="J1109" s="4" t="n">
        <v>-0.0056217699778745</v>
      </c>
      <c r="K1109">
        <f>IF(AND(I1109&gt;0,J1109&gt;=Assumptions!$B$4),1,0)</f>
        <v/>
      </c>
      <c r="L1109" s="3">
        <f>I1109*K1109</f>
        <v/>
      </c>
      <c r="M1109">
        <f>SUM($K$2:K1109)</f>
        <v/>
      </c>
    </row>
    <row r="1110">
      <c r="A1110" t="inlineStr">
        <is>
          <t>340042</t>
        </is>
      </c>
      <c r="B1110" t="inlineStr">
        <is>
          <t>Onslow Memorial Hospital</t>
        </is>
      </c>
      <c r="C1110" t="inlineStr">
        <is>
          <t>NC</t>
        </is>
      </c>
      <c r="D1110" t="inlineStr">
        <is>
          <t>Metropolitan</t>
        </is>
      </c>
      <c r="E1110" s="5" t="n">
        <v>672</v>
      </c>
      <c r="F1110" s="4" t="n">
        <v>0.7514880952380952</v>
      </c>
      <c r="G1110" s="4" t="n">
        <v>0.7145647070640387</v>
      </c>
      <c r="H1110" s="3" t="n">
        <v>8386667.618069798</v>
      </c>
      <c r="I1110" s="3" t="n">
        <v>-67854.34435974434</v>
      </c>
      <c r="J1110" s="4" t="n">
        <v>-0.0080907396656028</v>
      </c>
      <c r="K1110">
        <f>IF(AND(I1110&gt;0,J1110&gt;=Assumptions!$B$4),1,0)</f>
        <v/>
      </c>
      <c r="L1110" s="3">
        <f>I1110*K1110</f>
        <v/>
      </c>
      <c r="M1110">
        <f>SUM($K$2:K1110)</f>
        <v/>
      </c>
    </row>
    <row r="1111">
      <c r="A1111" t="inlineStr">
        <is>
          <t>220095</t>
        </is>
      </c>
      <c r="B1111" t="inlineStr">
        <is>
          <t>Heywood Hospital -</t>
        </is>
      </c>
      <c r="C1111" t="inlineStr">
        <is>
          <t>MA</t>
        </is>
      </c>
      <c r="D1111" t="inlineStr">
        <is>
          <t>Metropolitan</t>
        </is>
      </c>
      <c r="E1111" s="5" t="n">
        <v>569</v>
      </c>
      <c r="F1111" s="4" t="n">
        <v>0.7328646748681898</v>
      </c>
      <c r="G1111" s="4" t="n">
        <v>0.7057897674096374</v>
      </c>
      <c r="H1111" s="3" t="n">
        <v>7035042.082327927</v>
      </c>
      <c r="I1111" s="3" t="n">
        <v>-69080.98694916908</v>
      </c>
      <c r="J1111" s="4" t="n">
        <v>-0.009819555610434899</v>
      </c>
      <c r="K1111">
        <f>IF(AND(I1111&gt;0,J1111&gt;=Assumptions!$B$4),1,0)</f>
        <v/>
      </c>
      <c r="L1111" s="3">
        <f>I1111*K1111</f>
        <v/>
      </c>
      <c r="M1111">
        <f>SUM($K$2:K1111)</f>
        <v/>
      </c>
    </row>
    <row r="1112">
      <c r="A1112" t="inlineStr">
        <is>
          <t>360125</t>
        </is>
      </c>
      <c r="B1112" t="inlineStr">
        <is>
          <t>Ashtabula County Medical Center</t>
        </is>
      </c>
      <c r="C1112" t="inlineStr">
        <is>
          <t>OH</t>
        </is>
      </c>
      <c r="D1112" t="inlineStr">
        <is>
          <t>Micropolitan</t>
        </is>
      </c>
      <c r="E1112" s="5" t="n">
        <v>821</v>
      </c>
      <c r="F1112" s="4" t="n">
        <v>0.6747868453105969</v>
      </c>
      <c r="G1112" s="4" t="n">
        <v>0.6675931987234343</v>
      </c>
      <c r="H1112" s="3" t="n">
        <v>9610694.750128619</v>
      </c>
      <c r="I1112" s="3" t="n">
        <v>-69751.52855066396</v>
      </c>
      <c r="J1112" s="4" t="n">
        <v>-0.0072576988827712</v>
      </c>
      <c r="K1112">
        <f>IF(AND(I1112&gt;0,J1112&gt;=Assumptions!$B$4),1,0)</f>
        <v/>
      </c>
      <c r="L1112" s="3">
        <f>I1112*K1112</f>
        <v/>
      </c>
      <c r="M1112">
        <f>SUM($K$2:K1112)</f>
        <v/>
      </c>
    </row>
    <row r="1113">
      <c r="A1113" t="inlineStr">
        <is>
          <t>050099</t>
        </is>
      </c>
      <c r="B1113" t="inlineStr">
        <is>
          <t>San Antonio Regional Hospital</t>
        </is>
      </c>
      <c r="C1113" t="inlineStr">
        <is>
          <t>CA</t>
        </is>
      </c>
      <c r="D1113" t="inlineStr">
        <is>
          <t>Metropolitan</t>
        </is>
      </c>
      <c r="E1113" s="5" t="n">
        <v>1889</v>
      </c>
      <c r="F1113" s="4" t="n">
        <v>0.5939650608787719</v>
      </c>
      <c r="G1113" s="4" t="n">
        <v>0.6021600582025454</v>
      </c>
      <c r="H1113" s="3" t="n">
        <v>25510989.07581565</v>
      </c>
      <c r="I1113" s="3" t="n">
        <v>-69941.27839648351</v>
      </c>
      <c r="J1113" s="4" t="n">
        <v>-0.002741613748829</v>
      </c>
      <c r="K1113">
        <f>IF(AND(I1113&gt;0,J1113&gt;=Assumptions!$B$4),1,0)</f>
        <v/>
      </c>
      <c r="L1113" s="3">
        <f>I1113*K1113</f>
        <v/>
      </c>
      <c r="M1113">
        <f>SUM($K$2:K1113)</f>
        <v/>
      </c>
    </row>
    <row r="1114">
      <c r="A1114" t="inlineStr">
        <is>
          <t>050232</t>
        </is>
      </c>
      <c r="B1114" t="inlineStr">
        <is>
          <t>French Hospital Medical Center</t>
        </is>
      </c>
      <c r="C1114" t="inlineStr">
        <is>
          <t>CA</t>
        </is>
      </c>
      <c r="D1114" t="inlineStr">
        <is>
          <t>Metropolitan</t>
        </is>
      </c>
      <c r="E1114" s="5" t="n">
        <v>1258</v>
      </c>
      <c r="F1114" s="4" t="n">
        <v>0.6176470588235294</v>
      </c>
      <c r="G1114" s="4" t="n">
        <v>0.5970945168076924</v>
      </c>
      <c r="H1114" s="3" t="n">
        <v>22048877.87430464</v>
      </c>
      <c r="I1114" s="3" t="n">
        <v>-69946.03817838803</v>
      </c>
      <c r="J1114" s="4" t="n">
        <v>-0.0031723173658602</v>
      </c>
      <c r="K1114">
        <f>IF(AND(I1114&gt;0,J1114&gt;=Assumptions!$B$4),1,0)</f>
        <v/>
      </c>
      <c r="L1114" s="3">
        <f>I1114*K1114</f>
        <v/>
      </c>
      <c r="M1114">
        <f>SUM($K$2:K1114)</f>
        <v/>
      </c>
    </row>
    <row r="1115">
      <c r="A1115" t="inlineStr">
        <is>
          <t>050350</t>
        </is>
      </c>
      <c r="B1115" t="inlineStr">
        <is>
          <t>Adventist Health White Memorial Montebello</t>
        </is>
      </c>
      <c r="C1115" t="inlineStr">
        <is>
          <t>CA</t>
        </is>
      </c>
      <c r="D1115" t="inlineStr">
        <is>
          <t>Metropolitan</t>
        </is>
      </c>
      <c r="E1115" s="5" t="n">
        <v>359</v>
      </c>
      <c r="F1115" s="4" t="n">
        <v>0.7827298050139275</v>
      </c>
      <c r="G1115" s="4" t="n">
        <v>0.760739780379864</v>
      </c>
      <c r="H1115" s="3" t="n">
        <v>5198932.856625066</v>
      </c>
      <c r="I1115" s="3" t="n">
        <v>-71200.37725061364</v>
      </c>
      <c r="J1115" s="4" t="n">
        <v>-0.0136951907659053</v>
      </c>
      <c r="K1115">
        <f>IF(AND(I1115&gt;0,J1115&gt;=Assumptions!$B$4),1,0)</f>
        <v/>
      </c>
      <c r="L1115" s="3">
        <f>I1115*K1115</f>
        <v/>
      </c>
      <c r="M1115">
        <f>SUM($K$2:K1115)</f>
        <v/>
      </c>
    </row>
    <row r="1116">
      <c r="A1116" t="inlineStr">
        <is>
          <t>530006</t>
        </is>
      </c>
      <c r="B1116" t="inlineStr">
        <is>
          <t>Sheridan Memorial Hospital</t>
        </is>
      </c>
      <c r="C1116" t="inlineStr">
        <is>
          <t>WY</t>
        </is>
      </c>
      <c r="D1116" t="inlineStr">
        <is>
          <t>Micropolitan</t>
        </is>
      </c>
      <c r="E1116" s="5" t="n">
        <v>326</v>
      </c>
      <c r="F1116" s="4" t="n">
        <v>0.7883435582822086</v>
      </c>
      <c r="G1116" s="4" t="n">
        <v>0.7082789835577332</v>
      </c>
      <c r="H1116" s="3" t="n">
        <v>4098325.287867406</v>
      </c>
      <c r="I1116" s="3" t="n">
        <v>-71592.92376470519</v>
      </c>
      <c r="J1116" s="4" t="n">
        <v>-0.0174688241503541</v>
      </c>
      <c r="K1116">
        <f>IF(AND(I1116&gt;0,J1116&gt;=Assumptions!$B$4),1,0)</f>
        <v/>
      </c>
      <c r="L1116" s="3">
        <f>I1116*K1116</f>
        <v/>
      </c>
      <c r="M1116">
        <f>SUM($K$2:K1116)</f>
        <v/>
      </c>
    </row>
    <row r="1117">
      <c r="A1117" t="inlineStr">
        <is>
          <t>050261</t>
        </is>
      </c>
      <c r="B1117" t="inlineStr">
        <is>
          <t>Sierra View Medical Center</t>
        </is>
      </c>
      <c r="C1117" t="inlineStr">
        <is>
          <t>CA</t>
        </is>
      </c>
      <c r="D1117" t="inlineStr">
        <is>
          <t>Metropolitan</t>
        </is>
      </c>
      <c r="E1117" s="5" t="n">
        <v>732</v>
      </c>
      <c r="F1117" s="4" t="n">
        <v>0.7090163934426229</v>
      </c>
      <c r="G1117" s="4" t="n">
        <v>0.6921101656727916</v>
      </c>
      <c r="H1117" s="3" t="n">
        <v>9714188.356960004</v>
      </c>
      <c r="I1117" s="3" t="n">
        <v>-72816.40154098347</v>
      </c>
      <c r="J1117" s="4" t="n">
        <v>-0.0074958811652866</v>
      </c>
      <c r="K1117">
        <f>IF(AND(I1117&gt;0,J1117&gt;=Assumptions!$B$4),1,0)</f>
        <v/>
      </c>
      <c r="L1117" s="3">
        <f>I1117*K1117</f>
        <v/>
      </c>
      <c r="M1117">
        <f>SUM($K$2:K1117)</f>
        <v/>
      </c>
    </row>
    <row r="1118">
      <c r="A1118" t="inlineStr">
        <is>
          <t>170176</t>
        </is>
      </c>
      <c r="B1118" t="inlineStr">
        <is>
          <t>Overland Park Reg Med Ctr</t>
        </is>
      </c>
      <c r="C1118" t="inlineStr">
        <is>
          <t>KS</t>
        </is>
      </c>
      <c r="D1118" t="inlineStr">
        <is>
          <t>Metropolitan</t>
        </is>
      </c>
      <c r="E1118" s="5" t="n">
        <v>1622</v>
      </c>
      <c r="F1118" s="4" t="n">
        <v>0.4482120838471023</v>
      </c>
      <c r="G1118" s="4" t="n">
        <v>0.45876544936575</v>
      </c>
      <c r="H1118" s="3" t="n">
        <v>28059796.2479193</v>
      </c>
      <c r="I1118" s="3" t="n">
        <v>-72921.5881155394</v>
      </c>
      <c r="J1118" s="4" t="n">
        <v>-0.0025987925026699</v>
      </c>
      <c r="K1118">
        <f>IF(AND(I1118&gt;0,J1118&gt;=Assumptions!$B$4),1,0)</f>
        <v/>
      </c>
      <c r="L1118" s="3">
        <f>I1118*K1118</f>
        <v/>
      </c>
      <c r="M1118">
        <f>SUM($K$2:K1118)</f>
        <v/>
      </c>
    </row>
    <row r="1119">
      <c r="A1119" t="inlineStr">
        <is>
          <t>050150</t>
        </is>
      </c>
      <c r="B1119" t="inlineStr">
        <is>
          <t>Sierra Nevada Memorial Hospital</t>
        </is>
      </c>
      <c r="C1119" t="inlineStr">
        <is>
          <t>CA</t>
        </is>
      </c>
      <c r="D1119" t="inlineStr">
        <is>
          <t>Micropolitan</t>
        </is>
      </c>
      <c r="E1119" s="5" t="n">
        <v>1089</v>
      </c>
      <c r="F1119" s="4" t="n">
        <v>0.6538108356290174</v>
      </c>
      <c r="G1119" s="4" t="n">
        <v>0.6391234238369503</v>
      </c>
      <c r="H1119" s="3" t="n">
        <v>15182778.13278427</v>
      </c>
      <c r="I1119" s="3" t="n">
        <v>-73471.81911842152</v>
      </c>
      <c r="J1119" s="4" t="n">
        <v>-0.004839155158289</v>
      </c>
      <c r="K1119">
        <f>IF(AND(I1119&gt;0,J1119&gt;=Assumptions!$B$4),1,0)</f>
        <v/>
      </c>
      <c r="L1119" s="3">
        <f>I1119*K1119</f>
        <v/>
      </c>
      <c r="M1119">
        <f>SUM($K$2:K1119)</f>
        <v/>
      </c>
    </row>
    <row r="1120">
      <c r="A1120" t="inlineStr">
        <is>
          <t>340130</t>
        </is>
      </c>
      <c r="B1120" t="inlineStr">
        <is>
          <t>Atrium Health Union</t>
        </is>
      </c>
      <c r="C1120" t="inlineStr">
        <is>
          <t>NC</t>
        </is>
      </c>
      <c r="D1120" t="inlineStr">
        <is>
          <t>Metropolitan</t>
        </is>
      </c>
      <c r="E1120" s="5" t="n">
        <v>1874</v>
      </c>
      <c r="F1120" s="4" t="n">
        <v>0.6163287086446104</v>
      </c>
      <c r="G1120" s="4" t="n">
        <v>0.632451011952294</v>
      </c>
      <c r="H1120" s="3" t="n">
        <v>24287259.90076705</v>
      </c>
      <c r="I1120" s="3" t="n">
        <v>-73664.29410748556</v>
      </c>
      <c r="J1120" s="4" t="n">
        <v>-0.0030330426078719</v>
      </c>
      <c r="K1120">
        <f>IF(AND(I1120&gt;0,J1120&gt;=Assumptions!$B$4),1,0)</f>
        <v/>
      </c>
      <c r="L1120" s="3">
        <f>I1120*K1120</f>
        <v/>
      </c>
      <c r="M1120">
        <f>SUM($K$2:K1120)</f>
        <v/>
      </c>
    </row>
    <row r="1121">
      <c r="A1121" t="inlineStr">
        <is>
          <t>100124</t>
        </is>
      </c>
      <c r="B1121" t="inlineStr">
        <is>
          <t>Santa Rosa Medical Center</t>
        </is>
      </c>
      <c r="C1121" t="inlineStr">
        <is>
          <t>FL</t>
        </is>
      </c>
      <c r="D1121" t="inlineStr">
        <is>
          <t>Metropolitan</t>
        </is>
      </c>
      <c r="E1121" s="5" t="n">
        <v>484</v>
      </c>
      <c r="F1121" s="4" t="n">
        <v>0.6962809917355371</v>
      </c>
      <c r="G1121" s="4" t="n">
        <v>0.64764454629373</v>
      </c>
      <c r="H1121" s="3" t="n">
        <v>5846761.355894443</v>
      </c>
      <c r="I1121" s="3" t="n">
        <v>-74143.2303174492</v>
      </c>
      <c r="J1121" s="4" t="n">
        <v>-0.0126810768910041</v>
      </c>
      <c r="K1121">
        <f>IF(AND(I1121&gt;0,J1121&gt;=Assumptions!$B$4),1,0)</f>
        <v/>
      </c>
      <c r="L1121" s="3">
        <f>I1121*K1121</f>
        <v/>
      </c>
      <c r="M1121">
        <f>SUM($K$2:K1121)</f>
        <v/>
      </c>
    </row>
    <row r="1122">
      <c r="A1122" t="inlineStr">
        <is>
          <t>670085</t>
        </is>
      </c>
      <c r="B1122" t="inlineStr">
        <is>
          <t>Texas Health Harris Methodist Hospital Alliance</t>
        </is>
      </c>
      <c r="C1122" t="inlineStr">
        <is>
          <t>TX</t>
        </is>
      </c>
      <c r="D1122" t="inlineStr">
        <is>
          <t>Metropolitan</t>
        </is>
      </c>
      <c r="E1122" s="5" t="n">
        <v>589</v>
      </c>
      <c r="F1122" s="4" t="n">
        <v>0.6876061120543294</v>
      </c>
      <c r="G1122" s="4" t="n">
        <v>0.6796540024162757</v>
      </c>
      <c r="H1122" s="3" t="n">
        <v>8362707.582457773</v>
      </c>
      <c r="I1122" s="3" t="n">
        <v>-74318.52912179194</v>
      </c>
      <c r="J1122" s="4" t="n">
        <v>-0.008886897979990101</v>
      </c>
      <c r="K1122">
        <f>IF(AND(I1122&gt;0,J1122&gt;=Assumptions!$B$4),1,0)</f>
        <v/>
      </c>
      <c r="L1122" s="3">
        <f>I1122*K1122</f>
        <v/>
      </c>
      <c r="M1122">
        <f>SUM($K$2:K1122)</f>
        <v/>
      </c>
    </row>
    <row r="1123">
      <c r="A1123" t="inlineStr">
        <is>
          <t>220031</t>
        </is>
      </c>
      <c r="B1123" t="inlineStr">
        <is>
          <t>Boston Medical Center Corporation-</t>
        </is>
      </c>
      <c r="C1123" t="inlineStr">
        <is>
          <t>MA</t>
        </is>
      </c>
      <c r="D1123" t="inlineStr">
        <is>
          <t>Metropolitan</t>
        </is>
      </c>
      <c r="E1123" s="5" t="n">
        <v>1550</v>
      </c>
      <c r="F1123" s="4" t="n">
        <v>0.5735483870967742</v>
      </c>
      <c r="G1123" s="4" t="n">
        <v>0.5865162073493898</v>
      </c>
      <c r="H1123" s="3" t="n">
        <v>23568060.80681768</v>
      </c>
      <c r="I1123" s="3" t="n">
        <v>-74452.70901038125</v>
      </c>
      <c r="J1123" s="4" t="n">
        <v>-0.0031590511251924</v>
      </c>
      <c r="K1123">
        <f>IF(AND(I1123&gt;0,J1123&gt;=Assumptions!$B$4),1,0)</f>
        <v/>
      </c>
      <c r="L1123" s="3">
        <f>I1123*K1123</f>
        <v/>
      </c>
      <c r="M1123">
        <f>SUM($K$2:K1123)</f>
        <v/>
      </c>
    </row>
    <row r="1124">
      <c r="A1124" t="inlineStr">
        <is>
          <t>360065</t>
        </is>
      </c>
      <c r="B1124" t="inlineStr">
        <is>
          <t>Fisher-Titus Hospital</t>
        </is>
      </c>
      <c r="C1124" t="inlineStr">
        <is>
          <t>OH</t>
        </is>
      </c>
      <c r="D1124" t="inlineStr">
        <is>
          <t>Micropolitan</t>
        </is>
      </c>
      <c r="E1124" s="5" t="n">
        <v>447</v>
      </c>
      <c r="F1124" s="4" t="n">
        <v>0.7002237136465325</v>
      </c>
      <c r="G1124" s="4" t="n">
        <v>0.6697344692060835</v>
      </c>
      <c r="H1124" s="3" t="n">
        <v>5800430.628882254</v>
      </c>
      <c r="I1124" s="3" t="n">
        <v>-74589.19990691636</v>
      </c>
      <c r="J1124" s="4" t="n">
        <v>-0.0128592521278527</v>
      </c>
      <c r="K1124">
        <f>IF(AND(I1124&gt;0,J1124&gt;=Assumptions!$B$4),1,0)</f>
        <v/>
      </c>
      <c r="L1124" s="3">
        <f>I1124*K1124</f>
        <v/>
      </c>
      <c r="M1124">
        <f>SUM($K$2:K1124)</f>
        <v/>
      </c>
    </row>
    <row r="1125">
      <c r="A1125" t="inlineStr">
        <is>
          <t>360082</t>
        </is>
      </c>
      <c r="B1125" t="inlineStr">
        <is>
          <t>Euclid Hospital</t>
        </is>
      </c>
      <c r="C1125" t="inlineStr">
        <is>
          <t>OH</t>
        </is>
      </c>
      <c r="D1125" t="inlineStr">
        <is>
          <t>Metropolitan</t>
        </is>
      </c>
      <c r="E1125" s="5" t="n">
        <v>406</v>
      </c>
      <c r="F1125" s="4" t="n">
        <v>0.6896551724137931</v>
      </c>
      <c r="G1125" s="4" t="n">
        <v>0.664865223160134</v>
      </c>
      <c r="H1125" s="3" t="n">
        <v>4685512.060989122</v>
      </c>
      <c r="I1125" s="3" t="n">
        <v>-74690.11204959545</v>
      </c>
      <c r="J1125" s="4" t="n">
        <v>-0.0159406508994938</v>
      </c>
      <c r="K1125">
        <f>IF(AND(I1125&gt;0,J1125&gt;=Assumptions!$B$4),1,0)</f>
        <v/>
      </c>
      <c r="L1125" s="3">
        <f>I1125*K1125</f>
        <v/>
      </c>
      <c r="M1125">
        <f>SUM($K$2:K1125)</f>
        <v/>
      </c>
    </row>
    <row r="1126">
      <c r="A1126" t="inlineStr">
        <is>
          <t>070034</t>
        </is>
      </c>
      <c r="B1126" t="inlineStr">
        <is>
          <t>Norwalk Hospital</t>
        </is>
      </c>
      <c r="C1126" t="inlineStr">
        <is>
          <t>CT</t>
        </is>
      </c>
      <c r="D1126" t="inlineStr">
        <is>
          <t>Metropolitan</t>
        </is>
      </c>
      <c r="E1126" s="5" t="n">
        <v>2045</v>
      </c>
      <c r="F1126" s="4" t="n">
        <v>0.6352078239608802</v>
      </c>
      <c r="G1126" s="4" t="n">
        <v>0.621892951334952</v>
      </c>
      <c r="H1126" s="3" t="n">
        <v>28824840.02909169</v>
      </c>
      <c r="I1126" s="3" t="n">
        <v>-76002.90207799524</v>
      </c>
      <c r="J1126" s="4" t="n">
        <v>-0.002636715485716</v>
      </c>
      <c r="K1126">
        <f>IF(AND(I1126&gt;0,J1126&gt;=Assumptions!$B$4),1,0)</f>
        <v/>
      </c>
      <c r="L1126" s="3">
        <f>I1126*K1126</f>
        <v/>
      </c>
      <c r="M1126">
        <f>SUM($K$2:K1126)</f>
        <v/>
      </c>
    </row>
    <row r="1127">
      <c r="A1127" t="inlineStr">
        <is>
          <t>030094</t>
        </is>
      </c>
      <c r="B1127" t="inlineStr">
        <is>
          <t>Abrazo Arrowhead Campus</t>
        </is>
      </c>
      <c r="C1127" t="inlineStr">
        <is>
          <t>AZ</t>
        </is>
      </c>
      <c r="D1127" t="inlineStr">
        <is>
          <t>Metropolitan</t>
        </is>
      </c>
      <c r="E1127" s="5" t="n">
        <v>1863</v>
      </c>
      <c r="F1127" s="4" t="n">
        <v>0.4691358024691358</v>
      </c>
      <c r="G1127" s="4" t="n">
        <v>0.4692607334113395</v>
      </c>
      <c r="H1127" s="3" t="n">
        <v>42862480.69965984</v>
      </c>
      <c r="I1127" s="3" t="n">
        <v>-76041.62302123755</v>
      </c>
      <c r="J1127" s="4" t="n">
        <v>-0.0017740835756583</v>
      </c>
      <c r="K1127">
        <f>IF(AND(I1127&gt;0,J1127&gt;=Assumptions!$B$4),1,0)</f>
        <v/>
      </c>
      <c r="L1127" s="3">
        <f>I1127*K1127</f>
        <v/>
      </c>
      <c r="M1127">
        <f>SUM($K$2:K1127)</f>
        <v/>
      </c>
    </row>
    <row r="1128">
      <c r="A1128" t="inlineStr">
        <is>
          <t>140007</t>
        </is>
      </c>
      <c r="B1128" t="inlineStr">
        <is>
          <t>Presence Saint Joseph Medical Center</t>
        </is>
      </c>
      <c r="C1128" t="inlineStr">
        <is>
          <t>IL</t>
        </is>
      </c>
      <c r="D1128" t="inlineStr">
        <is>
          <t>Metropolitan</t>
        </is>
      </c>
      <c r="E1128" s="5" t="n">
        <v>2902</v>
      </c>
      <c r="F1128" s="4" t="n">
        <v>0.5527222605099931</v>
      </c>
      <c r="G1128" s="4" t="n">
        <v>0.5552563500600802</v>
      </c>
      <c r="H1128" s="3" t="n">
        <v>42592445.81148885</v>
      </c>
      <c r="I1128" s="3" t="n">
        <v>-76666.98160746694</v>
      </c>
      <c r="J1128" s="4" t="n">
        <v>-0.0018000135974062</v>
      </c>
      <c r="K1128">
        <f>IF(AND(I1128&gt;0,J1128&gt;=Assumptions!$B$4),1,0)</f>
        <v/>
      </c>
      <c r="L1128" s="3">
        <f>I1128*K1128</f>
        <v/>
      </c>
      <c r="M1128">
        <f>SUM($K$2:K1128)</f>
        <v/>
      </c>
    </row>
    <row r="1129">
      <c r="A1129" t="inlineStr">
        <is>
          <t>140049</t>
        </is>
      </c>
      <c r="B1129" t="inlineStr">
        <is>
          <t>West Suburban Medical Center</t>
        </is>
      </c>
      <c r="C1129" t="inlineStr">
        <is>
          <t>IL</t>
        </is>
      </c>
      <c r="D1129" t="inlineStr">
        <is>
          <t>Metropolitan</t>
        </is>
      </c>
      <c r="E1129" s="5" t="n">
        <v>343</v>
      </c>
      <c r="F1129" s="4" t="n">
        <v>0.7813411078717201</v>
      </c>
      <c r="G1129" s="4" t="n">
        <v>0.7513985568806878</v>
      </c>
      <c r="H1129" s="3" t="n">
        <v>4741167.50598778</v>
      </c>
      <c r="I1129" s="3" t="n">
        <v>-77021.99537964258</v>
      </c>
      <c r="J1129" s="4" t="n">
        <v>-0.0162453647297567</v>
      </c>
      <c r="K1129">
        <f>IF(AND(I1129&gt;0,J1129&gt;=Assumptions!$B$4),1,0)</f>
        <v/>
      </c>
      <c r="L1129" s="3">
        <f>I1129*K1129</f>
        <v/>
      </c>
      <c r="M1129">
        <f>SUM($K$2:K1129)</f>
        <v/>
      </c>
    </row>
    <row r="1130">
      <c r="A1130" t="inlineStr">
        <is>
          <t>140292</t>
        </is>
      </c>
      <c r="B1130" t="inlineStr">
        <is>
          <t>Uchicago Medicine Adventhealth Glenoaks</t>
        </is>
      </c>
      <c r="C1130" t="inlineStr">
        <is>
          <t>IL</t>
        </is>
      </c>
      <c r="D1130" t="inlineStr">
        <is>
          <t>Metropolitan</t>
        </is>
      </c>
      <c r="E1130" s="5" t="n">
        <v>347</v>
      </c>
      <c r="F1130" s="4" t="n">
        <v>0.7867435158501441</v>
      </c>
      <c r="G1130" s="4" t="n">
        <v>0.7340908695632439</v>
      </c>
      <c r="H1130" s="3" t="n">
        <v>4641708.015610845</v>
      </c>
      <c r="I1130" s="3" t="n">
        <v>-77193.64029878005</v>
      </c>
      <c r="J1130" s="4" t="n">
        <v>-0.0166304386314617</v>
      </c>
      <c r="K1130">
        <f>IF(AND(I1130&gt;0,J1130&gt;=Assumptions!$B$4),1,0)</f>
        <v/>
      </c>
      <c r="L1130" s="3">
        <f>I1130*K1130</f>
        <v/>
      </c>
      <c r="M1130">
        <f>SUM($K$2:K1130)</f>
        <v/>
      </c>
    </row>
    <row r="1131">
      <c r="A1131" t="inlineStr">
        <is>
          <t>070028</t>
        </is>
      </c>
      <c r="B1131" t="inlineStr">
        <is>
          <t>St Vincent's Medical Center</t>
        </is>
      </c>
      <c r="C1131" t="inlineStr">
        <is>
          <t>CT</t>
        </is>
      </c>
      <c r="D1131" t="inlineStr">
        <is>
          <t>Metropolitan</t>
        </is>
      </c>
      <c r="E1131" s="5" t="n">
        <v>1462</v>
      </c>
      <c r="F1131" s="4" t="n">
        <v>0.5670314637482901</v>
      </c>
      <c r="G1131" s="4" t="n">
        <v>0.5469545911465014</v>
      </c>
      <c r="H1131" s="3" t="n">
        <v>27639714.68767136</v>
      </c>
      <c r="I1131" s="3" t="n">
        <v>-77914.74592202902</v>
      </c>
      <c r="J1131" s="4" t="n">
        <v>-0.0028189417583526</v>
      </c>
      <c r="K1131">
        <f>IF(AND(I1131&gt;0,J1131&gt;=Assumptions!$B$4),1,0)</f>
        <v/>
      </c>
      <c r="L1131" s="3">
        <f>I1131*K1131</f>
        <v/>
      </c>
      <c r="M1131">
        <f>SUM($K$2:K1131)</f>
        <v/>
      </c>
    </row>
    <row r="1132">
      <c r="A1132" t="inlineStr">
        <is>
          <t>490114</t>
        </is>
      </c>
      <c r="B1132" t="inlineStr">
        <is>
          <t>Lonesome Pine Hospital</t>
        </is>
      </c>
      <c r="C1132" t="inlineStr">
        <is>
          <t>VA</t>
        </is>
      </c>
      <c r="D1132" t="inlineStr">
        <is>
          <t>Small town</t>
        </is>
      </c>
      <c r="E1132" s="5" t="n">
        <v>451</v>
      </c>
      <c r="F1132" s="4" t="n">
        <v>0.7827050997782705</v>
      </c>
      <c r="G1132" s="4" t="n">
        <v>0.7308947903872566</v>
      </c>
      <c r="H1132" s="3" t="n">
        <v>5993519.276151756</v>
      </c>
      <c r="I1132" s="3" t="n">
        <v>-78556.6983775571</v>
      </c>
      <c r="J1132" s="4" t="n">
        <v>-0.0131069401395161</v>
      </c>
      <c r="K1132">
        <f>IF(AND(I1132&gt;0,J1132&gt;=Assumptions!$B$4),1,0)</f>
        <v/>
      </c>
      <c r="L1132" s="3">
        <f>I1132*K1132</f>
        <v/>
      </c>
      <c r="M1132">
        <f>SUM($K$2:K1132)</f>
        <v/>
      </c>
    </row>
    <row r="1133">
      <c r="A1133" t="inlineStr">
        <is>
          <t>150006</t>
        </is>
      </c>
      <c r="B1133" t="inlineStr">
        <is>
          <t>Northwest Health-La Porte</t>
        </is>
      </c>
      <c r="C1133" t="inlineStr">
        <is>
          <t>IN</t>
        </is>
      </c>
      <c r="D1133" t="inlineStr">
        <is>
          <t>Metropolitan</t>
        </is>
      </c>
      <c r="E1133" s="5" t="n">
        <v>753</v>
      </c>
      <c r="F1133" s="4" t="n">
        <v>0.6918990703851262</v>
      </c>
      <c r="G1133" s="4" t="n">
        <v>0.6699724865329733</v>
      </c>
      <c r="H1133" s="3" t="n">
        <v>9918075.353924358</v>
      </c>
      <c r="I1133" s="3" t="n">
        <v>-79634.63095817901</v>
      </c>
      <c r="J1133" s="4" t="n">
        <v>-0.0080292423798402</v>
      </c>
      <c r="K1133">
        <f>IF(AND(I1133&gt;0,J1133&gt;=Assumptions!$B$4),1,0)</f>
        <v/>
      </c>
      <c r="L1133" s="3">
        <f>I1133*K1133</f>
        <v/>
      </c>
      <c r="M1133">
        <f>SUM($K$2:K1133)</f>
        <v/>
      </c>
    </row>
    <row r="1134">
      <c r="A1134" t="inlineStr">
        <is>
          <t>190017</t>
        </is>
      </c>
      <c r="B1134" t="inlineStr">
        <is>
          <t>Opelousas General Health System</t>
        </is>
      </c>
      <c r="C1134" t="inlineStr">
        <is>
          <t>LA</t>
        </is>
      </c>
      <c r="D1134" t="inlineStr">
        <is>
          <t>Metropolitan</t>
        </is>
      </c>
      <c r="E1134" s="5" t="n">
        <v>511</v>
      </c>
      <c r="F1134" s="4" t="n">
        <v>0.7045009784735812</v>
      </c>
      <c r="G1134" s="4" t="n">
        <v>0.6541055466009709</v>
      </c>
      <c r="H1134" s="3" t="n">
        <v>8626165.149859579</v>
      </c>
      <c r="I1134" s="3" t="n">
        <v>-80354.88176496886</v>
      </c>
      <c r="J1134" s="4" t="n">
        <v>-0.0093152496351495</v>
      </c>
      <c r="K1134">
        <f>IF(AND(I1134&gt;0,J1134&gt;=Assumptions!$B$4),1,0)</f>
        <v/>
      </c>
      <c r="L1134" s="3">
        <f>I1134*K1134</f>
        <v/>
      </c>
      <c r="M1134">
        <f>SUM($K$2:K1134)</f>
        <v/>
      </c>
    </row>
    <row r="1135">
      <c r="A1135" t="inlineStr">
        <is>
          <t>100099</t>
        </is>
      </c>
      <c r="B1135" t="inlineStr">
        <is>
          <t>Adventhealth Lake Wales</t>
        </is>
      </c>
      <c r="C1135" t="inlineStr">
        <is>
          <t>FL</t>
        </is>
      </c>
      <c r="D1135" t="inlineStr">
        <is>
          <t>Metropolitan</t>
        </is>
      </c>
      <c r="E1135" s="5" t="n">
        <v>337</v>
      </c>
      <c r="F1135" s="4" t="n">
        <v>0.7774480712166172</v>
      </c>
      <c r="G1135" s="4" t="n">
        <v>0.7426617302780155</v>
      </c>
      <c r="H1135" s="3" t="n">
        <v>4937932.105672742</v>
      </c>
      <c r="I1135" s="3" t="n">
        <v>-81144.05835299566</v>
      </c>
      <c r="J1135" s="4" t="n">
        <v>-0.016432801548603</v>
      </c>
      <c r="K1135">
        <f>IF(AND(I1135&gt;0,J1135&gt;=Assumptions!$B$4),1,0)</f>
        <v/>
      </c>
      <c r="L1135" s="3">
        <f>I1135*K1135</f>
        <v/>
      </c>
      <c r="M1135">
        <f>SUM($K$2:K1135)</f>
        <v/>
      </c>
    </row>
    <row r="1136">
      <c r="A1136" t="inlineStr">
        <is>
          <t>320006</t>
        </is>
      </c>
      <c r="B1136" t="inlineStr">
        <is>
          <t>Eastern New Mexico Medical Center</t>
        </is>
      </c>
      <c r="C1136" t="inlineStr">
        <is>
          <t>NM</t>
        </is>
      </c>
      <c r="D1136" t="inlineStr">
        <is>
          <t>Micropolitan</t>
        </is>
      </c>
      <c r="E1136" s="5" t="n">
        <v>507</v>
      </c>
      <c r="F1136" s="4" t="n">
        <v>0.7337278106508875</v>
      </c>
      <c r="G1136" s="4" t="n">
        <v>0.7003059789157987</v>
      </c>
      <c r="H1136" s="3" t="n">
        <v>6561241.400802525</v>
      </c>
      <c r="I1136" s="3" t="n">
        <v>-82804.65728079993</v>
      </c>
      <c r="J1136" s="4" t="n">
        <v>-0.0126202729365622</v>
      </c>
      <c r="K1136">
        <f>IF(AND(I1136&gt;0,J1136&gt;=Assumptions!$B$4),1,0)</f>
        <v/>
      </c>
      <c r="L1136" s="3">
        <f>I1136*K1136</f>
        <v/>
      </c>
      <c r="M1136">
        <f>SUM($K$2:K1136)</f>
        <v/>
      </c>
    </row>
    <row r="1137">
      <c r="A1137" t="inlineStr">
        <is>
          <t>100217</t>
        </is>
      </c>
      <c r="B1137" t="inlineStr">
        <is>
          <t>Sebastian River Medical Center</t>
        </is>
      </c>
      <c r="C1137" t="inlineStr">
        <is>
          <t>FL</t>
        </is>
      </c>
      <c r="D1137" t="inlineStr">
        <is>
          <t>Metropolitan</t>
        </is>
      </c>
      <c r="E1137" s="5" t="n">
        <v>598</v>
      </c>
      <c r="F1137" s="4" t="n">
        <v>0.6321070234113713</v>
      </c>
      <c r="G1137" s="4" t="n">
        <v>0.5924337040795062</v>
      </c>
      <c r="H1137" s="3" t="n">
        <v>8538292.793695588</v>
      </c>
      <c r="I1137" s="3" t="n">
        <v>-82858.2272139769</v>
      </c>
      <c r="J1137" s="4" t="n">
        <v>-0.009704308486019201</v>
      </c>
      <c r="K1137">
        <f>IF(AND(I1137&gt;0,J1137&gt;=Assumptions!$B$4),1,0)</f>
        <v/>
      </c>
      <c r="L1137" s="3">
        <f>I1137*K1137</f>
        <v/>
      </c>
      <c r="M1137">
        <f>SUM($K$2:K1137)</f>
        <v/>
      </c>
    </row>
    <row r="1138">
      <c r="A1138" t="inlineStr">
        <is>
          <t>140180</t>
        </is>
      </c>
      <c r="B1138" t="inlineStr">
        <is>
          <t>Presence Saints Mary And Elizabeth Medical Center</t>
        </is>
      </c>
      <c r="C1138" t="inlineStr">
        <is>
          <t>IL</t>
        </is>
      </c>
      <c r="D1138" t="inlineStr">
        <is>
          <t>Metropolitan</t>
        </is>
      </c>
      <c r="E1138" s="5" t="n">
        <v>554</v>
      </c>
      <c r="F1138" s="4" t="n">
        <v>0.6823104693140795</v>
      </c>
      <c r="G1138" s="4" t="n">
        <v>0.6864776498553785</v>
      </c>
      <c r="H1138" s="3" t="n">
        <v>8030275.481034946</v>
      </c>
      <c r="I1138" s="3" t="n">
        <v>-83699.47501761094</v>
      </c>
      <c r="J1138" s="4" t="n">
        <v>-0.0104229892505286</v>
      </c>
      <c r="K1138">
        <f>IF(AND(I1138&gt;0,J1138&gt;=Assumptions!$B$4),1,0)</f>
        <v/>
      </c>
      <c r="L1138" s="3">
        <f>I1138*K1138</f>
        <v/>
      </c>
      <c r="M1138">
        <f>SUM($K$2:K1138)</f>
        <v/>
      </c>
    </row>
    <row r="1139">
      <c r="A1139" t="inlineStr">
        <is>
          <t>150051</t>
        </is>
      </c>
      <c r="B1139" t="inlineStr">
        <is>
          <t>Iu Health Bloomington Hospital</t>
        </is>
      </c>
      <c r="C1139" t="inlineStr">
        <is>
          <t>IN</t>
        </is>
      </c>
      <c r="D1139" t="inlineStr">
        <is>
          <t>Metropolitan</t>
        </is>
      </c>
      <c r="E1139" s="5" t="n">
        <v>1791</v>
      </c>
      <c r="F1139" s="4" t="n">
        <v>0.626465661641541</v>
      </c>
      <c r="G1139" s="4" t="n">
        <v>0.6241776181660065</v>
      </c>
      <c r="H1139" s="3" t="n">
        <v>29627061.9187939</v>
      </c>
      <c r="I1139" s="3" t="n">
        <v>-83776.32824555039</v>
      </c>
      <c r="J1139" s="4" t="n">
        <v>-0.0028276961271143</v>
      </c>
      <c r="K1139">
        <f>IF(AND(I1139&gt;0,J1139&gt;=Assumptions!$B$4),1,0)</f>
        <v/>
      </c>
      <c r="L1139" s="3">
        <f>I1139*K1139</f>
        <v/>
      </c>
      <c r="M1139">
        <f>SUM($K$2:K1139)</f>
        <v/>
      </c>
    </row>
    <row r="1140">
      <c r="A1140" t="inlineStr">
        <is>
          <t>140185</t>
        </is>
      </c>
      <c r="B1140" t="inlineStr">
        <is>
          <t>Memorial Hospital</t>
        </is>
      </c>
      <c r="C1140" t="inlineStr">
        <is>
          <t>IL</t>
        </is>
      </c>
      <c r="D1140" t="inlineStr">
        <is>
          <t>Metropolitan</t>
        </is>
      </c>
      <c r="E1140" s="5" t="n">
        <v>3071</v>
      </c>
      <c r="F1140" s="4" t="n">
        <v>0.6040377727124715</v>
      </c>
      <c r="G1140" s="4" t="n">
        <v>0.6038701282396803</v>
      </c>
      <c r="H1140" s="3" t="n">
        <v>42476660.50895477</v>
      </c>
      <c r="I1140" s="3" t="n">
        <v>-84536.35317234695</v>
      </c>
      <c r="J1140" s="4" t="n">
        <v>-0.0019901836010513</v>
      </c>
      <c r="K1140">
        <f>IF(AND(I1140&gt;0,J1140&gt;=Assumptions!$B$4),1,0)</f>
        <v/>
      </c>
      <c r="L1140" s="3">
        <f>I1140*K1140</f>
        <v/>
      </c>
      <c r="M1140">
        <f>SUM($K$2:K1140)</f>
        <v/>
      </c>
    </row>
    <row r="1141">
      <c r="A1141" t="inlineStr">
        <is>
          <t>450389</t>
        </is>
      </c>
      <c r="B1141" t="inlineStr">
        <is>
          <t>Ut Health East Texas Athens Hospital</t>
        </is>
      </c>
      <c r="C1141" t="inlineStr">
        <is>
          <t>TX</t>
        </is>
      </c>
      <c r="D1141" t="inlineStr">
        <is>
          <t>Micropolitan</t>
        </is>
      </c>
      <c r="E1141" s="5" t="n">
        <v>545</v>
      </c>
      <c r="F1141" s="4" t="n">
        <v>0.6660550458715596</v>
      </c>
      <c r="G1141" s="4" t="n">
        <v>0.629628899920922</v>
      </c>
      <c r="H1141" s="3" t="n">
        <v>6538481.584742333</v>
      </c>
      <c r="I1141" s="3" t="n">
        <v>-84790.84615867492</v>
      </c>
      <c r="J1141" s="4" t="n">
        <v>-0.012967972006916</v>
      </c>
      <c r="K1141">
        <f>IF(AND(I1141&gt;0,J1141&gt;=Assumptions!$B$4),1,0)</f>
        <v/>
      </c>
      <c r="L1141" s="3">
        <f>I1141*K1141</f>
        <v/>
      </c>
      <c r="M1141">
        <f>SUM($K$2:K1141)</f>
        <v/>
      </c>
    </row>
    <row r="1142">
      <c r="A1142" t="inlineStr">
        <is>
          <t>330204</t>
        </is>
      </c>
      <c r="B1142" t="inlineStr">
        <is>
          <t>Bellevue Hospital Center</t>
        </is>
      </c>
      <c r="C1142" t="inlineStr">
        <is>
          <t>NY</t>
        </is>
      </c>
      <c r="D1142" t="inlineStr">
        <is>
          <t>Metropolitan</t>
        </is>
      </c>
      <c r="E1142" s="5" t="n">
        <v>691</v>
      </c>
      <c r="F1142" s="4" t="n">
        <v>0.5426917510853835</v>
      </c>
      <c r="G1142" s="4" t="n">
        <v>0.5380840510199469</v>
      </c>
      <c r="H1142" s="3" t="n">
        <v>9176943.546426523</v>
      </c>
      <c r="I1142" s="3" t="n">
        <v>-85165.64083744027</v>
      </c>
      <c r="J1142" s="4" t="n">
        <v>-0.009280392802525499</v>
      </c>
      <c r="K1142">
        <f>IF(AND(I1142&gt;0,J1142&gt;=Assumptions!$B$4),1,0)</f>
        <v/>
      </c>
      <c r="L1142" s="3">
        <f>I1142*K1142</f>
        <v/>
      </c>
      <c r="M1142">
        <f>SUM($K$2:K1142)</f>
        <v/>
      </c>
    </row>
    <row r="1143">
      <c r="A1143" t="inlineStr">
        <is>
          <t>260138</t>
        </is>
      </c>
      <c r="B1143" t="inlineStr">
        <is>
          <t>St Lukes Hospital Of Kansas City</t>
        </is>
      </c>
      <c r="C1143" t="inlineStr">
        <is>
          <t>MO</t>
        </is>
      </c>
      <c r="D1143" t="inlineStr">
        <is>
          <t>Metropolitan</t>
        </is>
      </c>
      <c r="E1143" s="5" t="n">
        <v>3160</v>
      </c>
      <c r="F1143" s="4" t="n">
        <v>0.4746835443037974</v>
      </c>
      <c r="G1143" s="4" t="n">
        <v>0.4901531391979955</v>
      </c>
      <c r="H1143" s="3" t="n">
        <v>69101799.53444968</v>
      </c>
      <c r="I1143" s="3" t="n">
        <v>-85572.22546254098</v>
      </c>
      <c r="J1143" s="4" t="n">
        <v>-0.0012383501737878</v>
      </c>
      <c r="K1143">
        <f>IF(AND(I1143&gt;0,J1143&gt;=Assumptions!$B$4),1,0)</f>
        <v/>
      </c>
      <c r="L1143" s="3">
        <f>I1143*K1143</f>
        <v/>
      </c>
      <c r="M1143">
        <f>SUM($K$2:K1143)</f>
        <v/>
      </c>
    </row>
    <row r="1144">
      <c r="A1144" t="inlineStr">
        <is>
          <t>050779</t>
        </is>
      </c>
      <c r="B1144" t="inlineStr">
        <is>
          <t>Martin Luther King, Jr. Community Hospital</t>
        </is>
      </c>
      <c r="C1144" t="inlineStr">
        <is>
          <t>CA</t>
        </is>
      </c>
      <c r="D1144" t="inlineStr">
        <is>
          <t>Metropolitan</t>
        </is>
      </c>
      <c r="E1144" s="5" t="n">
        <v>562</v>
      </c>
      <c r="F1144" s="4" t="n">
        <v>0.7437722419928826</v>
      </c>
      <c r="G1144" s="4" t="n">
        <v>0.7302932454474259</v>
      </c>
      <c r="H1144" s="3" t="n">
        <v>7828824.013978228</v>
      </c>
      <c r="I1144" s="3" t="n">
        <v>-86450.14636424091</v>
      </c>
      <c r="J1144" s="4" t="n">
        <v>-0.0110425456249732</v>
      </c>
      <c r="K1144">
        <f>IF(AND(I1144&gt;0,J1144&gt;=Assumptions!$B$4),1,0)</f>
        <v/>
      </c>
      <c r="L1144" s="3">
        <f>I1144*K1144</f>
        <v/>
      </c>
      <c r="M1144">
        <f>SUM($K$2:K1144)</f>
        <v/>
      </c>
    </row>
    <row r="1145">
      <c r="A1145" t="inlineStr">
        <is>
          <t>340123</t>
        </is>
      </c>
      <c r="B1145" t="inlineStr">
        <is>
          <t>Randolph Hospital</t>
        </is>
      </c>
      <c r="C1145" t="inlineStr">
        <is>
          <t>NC</t>
        </is>
      </c>
      <c r="D1145" t="inlineStr">
        <is>
          <t>Unclassified</t>
        </is>
      </c>
      <c r="E1145" s="5" t="n">
        <v>359</v>
      </c>
      <c r="F1145" s="4" t="n">
        <v>0.7743732590529248</v>
      </c>
      <c r="G1145" s="4" t="n">
        <v>0.705860452983288</v>
      </c>
      <c r="H1145" s="3" t="n">
        <v>4706993.732927592</v>
      </c>
      <c r="I1145" s="3" t="n">
        <v>-88889.91437704209</v>
      </c>
      <c r="J1145" s="4" t="n">
        <v>-0.0188846468511772</v>
      </c>
      <c r="K1145">
        <f>IF(AND(I1145&gt;0,J1145&gt;=Assumptions!$B$4),1,0)</f>
        <v/>
      </c>
      <c r="L1145" s="3">
        <f>I1145*K1145</f>
        <v/>
      </c>
      <c r="M1145">
        <f>SUM($K$2:K1145)</f>
        <v/>
      </c>
    </row>
    <row r="1146">
      <c r="A1146" t="inlineStr">
        <is>
          <t>390138</t>
        </is>
      </c>
      <c r="B1146" t="inlineStr">
        <is>
          <t>Wellspan Waynesboro Hospital</t>
        </is>
      </c>
      <c r="C1146" t="inlineStr">
        <is>
          <t>PA</t>
        </is>
      </c>
      <c r="D1146" t="inlineStr">
        <is>
          <t>Micropolitan</t>
        </is>
      </c>
      <c r="E1146" s="5" t="n">
        <v>359</v>
      </c>
      <c r="F1146" s="4" t="n">
        <v>0.7883008356545961</v>
      </c>
      <c r="G1146" s="4" t="n">
        <v>0.7340375723752127</v>
      </c>
      <c r="H1146" s="3" t="n">
        <v>4647669.715159394</v>
      </c>
      <c r="I1146" s="3" t="n">
        <v>-89901.10824284144</v>
      </c>
      <c r="J1146" s="4" t="n">
        <v>-0.01934326528187</v>
      </c>
      <c r="K1146">
        <f>IF(AND(I1146&gt;0,J1146&gt;=Assumptions!$B$4),1,0)</f>
        <v/>
      </c>
      <c r="L1146" s="3">
        <f>I1146*K1146</f>
        <v/>
      </c>
      <c r="M1146">
        <f>SUM($K$2:K1146)</f>
        <v/>
      </c>
    </row>
    <row r="1147">
      <c r="A1147" t="inlineStr">
        <is>
          <t>150042</t>
        </is>
      </c>
      <c r="B1147" t="inlineStr">
        <is>
          <t>Good Samaritan Hospital</t>
        </is>
      </c>
      <c r="C1147" t="inlineStr">
        <is>
          <t>IN</t>
        </is>
      </c>
      <c r="D1147" t="inlineStr">
        <is>
          <t>Micropolitan</t>
        </is>
      </c>
      <c r="E1147" s="5" t="n">
        <v>1049</v>
      </c>
      <c r="F1147" s="4" t="n">
        <v>0.661582459485224</v>
      </c>
      <c r="G1147" s="4" t="n">
        <v>0.6507816795985739</v>
      </c>
      <c r="H1147" s="3" t="n">
        <v>14044080.95038835</v>
      </c>
      <c r="I1147" s="3" t="n">
        <v>-91478.80628357828</v>
      </c>
      <c r="J1147" s="4" t="n">
        <v>-0.0065136911846872</v>
      </c>
      <c r="K1147">
        <f>IF(AND(I1147&gt;0,J1147&gt;=Assumptions!$B$4),1,0)</f>
        <v/>
      </c>
      <c r="L1147" s="3">
        <f>I1147*K1147</f>
        <v/>
      </c>
      <c r="M1147">
        <f>SUM($K$2:K1147)</f>
        <v/>
      </c>
    </row>
    <row r="1148">
      <c r="A1148" t="inlineStr">
        <is>
          <t>340003</t>
        </is>
      </c>
      <c r="B1148" t="inlineStr">
        <is>
          <t>Northern Regional Hospital</t>
        </is>
      </c>
      <c r="C1148" t="inlineStr">
        <is>
          <t>NC</t>
        </is>
      </c>
      <c r="D1148" t="inlineStr">
        <is>
          <t>Micropolitan</t>
        </is>
      </c>
      <c r="E1148" s="5" t="n">
        <v>460</v>
      </c>
      <c r="F1148" s="4" t="n">
        <v>0.7956521739130434</v>
      </c>
      <c r="G1148" s="4" t="n">
        <v>0.7198485513628655</v>
      </c>
      <c r="H1148" s="3" t="n">
        <v>5972677.108112923</v>
      </c>
      <c r="I1148" s="3" t="n">
        <v>-91539.66121608298</v>
      </c>
      <c r="J1148" s="4" t="n">
        <v>-0.01532640381509</v>
      </c>
      <c r="K1148">
        <f>IF(AND(I1148&gt;0,J1148&gt;=Assumptions!$B$4),1,0)</f>
        <v/>
      </c>
      <c r="L1148" s="3">
        <f>I1148*K1148</f>
        <v/>
      </c>
      <c r="M1148">
        <f>SUM($K$2:K1148)</f>
        <v/>
      </c>
    </row>
    <row r="1149">
      <c r="A1149" t="inlineStr">
        <is>
          <t>340115</t>
        </is>
      </c>
      <c r="B1149" t="inlineStr">
        <is>
          <t>Firsthealth Moore Regional Hospital</t>
        </is>
      </c>
      <c r="C1149" t="inlineStr">
        <is>
          <t>NC</t>
        </is>
      </c>
      <c r="D1149" t="inlineStr">
        <is>
          <t>Micropolitan</t>
        </is>
      </c>
      <c r="E1149" s="5" t="n">
        <v>4326</v>
      </c>
      <c r="F1149" s="4" t="n">
        <v>0.4967637540453074</v>
      </c>
      <c r="G1149" s="4" t="n">
        <v>0.532738875800065</v>
      </c>
      <c r="H1149" s="3" t="n">
        <v>73889707.24253099</v>
      </c>
      <c r="I1149" s="3" t="n">
        <v>-91709.63966733216</v>
      </c>
      <c r="J1149" s="4" t="n">
        <v>-0.0012411693467171</v>
      </c>
      <c r="K1149">
        <f>IF(AND(I1149&gt;0,J1149&gt;=Assumptions!$B$4),1,0)</f>
        <v/>
      </c>
      <c r="L1149" s="3">
        <f>I1149*K1149</f>
        <v/>
      </c>
      <c r="M1149">
        <f>SUM($K$2:K1149)</f>
        <v/>
      </c>
    </row>
    <row r="1150">
      <c r="A1150" t="inlineStr">
        <is>
          <t>050636</t>
        </is>
      </c>
      <c r="B1150" t="inlineStr">
        <is>
          <t>Palomar Medical Center Poway</t>
        </is>
      </c>
      <c r="C1150" t="inlineStr">
        <is>
          <t>CA</t>
        </is>
      </c>
      <c r="D1150" t="inlineStr">
        <is>
          <t>Metropolitan</t>
        </is>
      </c>
      <c r="E1150" s="5" t="n">
        <v>642</v>
      </c>
      <c r="F1150" s="4" t="n">
        <v>0.7772585669781932</v>
      </c>
      <c r="G1150" s="4" t="n">
        <v>0.742426099398207</v>
      </c>
      <c r="H1150" s="3" t="n">
        <v>9319702.118505985</v>
      </c>
      <c r="I1150" s="3" t="n">
        <v>-91949.60387008452</v>
      </c>
      <c r="J1150" s="4" t="n">
        <v>-0.009866152662487099</v>
      </c>
      <c r="K1150">
        <f>IF(AND(I1150&gt;0,J1150&gt;=Assumptions!$B$4),1,0)</f>
        <v/>
      </c>
      <c r="L1150" s="3">
        <f>I1150*K1150</f>
        <v/>
      </c>
      <c r="M1150">
        <f>SUM($K$2:K1150)</f>
        <v/>
      </c>
    </row>
    <row r="1151">
      <c r="A1151" t="inlineStr">
        <is>
          <t>140063</t>
        </is>
      </c>
      <c r="B1151" t="inlineStr">
        <is>
          <t>Rush Oak Park Hospital</t>
        </is>
      </c>
      <c r="C1151" t="inlineStr">
        <is>
          <t>IL</t>
        </is>
      </c>
      <c r="D1151" t="inlineStr">
        <is>
          <t>Metropolitan</t>
        </is>
      </c>
      <c r="E1151" s="5" t="n">
        <v>824</v>
      </c>
      <c r="F1151" s="4" t="n">
        <v>0.6480582524271845</v>
      </c>
      <c r="G1151" s="4" t="n">
        <v>0.6529560819462493</v>
      </c>
      <c r="H1151" s="3" t="n">
        <v>11143744.43521789</v>
      </c>
      <c r="I1151" s="3" t="n">
        <v>-92556.92499492316</v>
      </c>
      <c r="J1151" s="4" t="n">
        <v>-0.008305729329399599</v>
      </c>
      <c r="K1151">
        <f>IF(AND(I1151&gt;0,J1151&gt;=Assumptions!$B$4),1,0)</f>
        <v/>
      </c>
      <c r="L1151" s="3">
        <f>I1151*K1151</f>
        <v/>
      </c>
      <c r="M1151">
        <f>SUM($K$2:K1151)</f>
        <v/>
      </c>
    </row>
    <row r="1152">
      <c r="A1152" t="inlineStr">
        <is>
          <t>150088</t>
        </is>
      </c>
      <c r="B1152" t="inlineStr">
        <is>
          <t>Ascension St Vincent Anderson</t>
        </is>
      </c>
      <c r="C1152" t="inlineStr">
        <is>
          <t>IN</t>
        </is>
      </c>
      <c r="D1152" t="inlineStr">
        <is>
          <t>Metropolitan</t>
        </is>
      </c>
      <c r="E1152" s="5" t="n">
        <v>381</v>
      </c>
      <c r="F1152" s="4" t="n">
        <v>0.7742782152230971</v>
      </c>
      <c r="G1152" s="4" t="n">
        <v>0.6816460498581072</v>
      </c>
      <c r="H1152" s="3" t="n">
        <v>4686204.297324524</v>
      </c>
      <c r="I1152" s="3" t="n">
        <v>-92586.41785583644</v>
      </c>
      <c r="J1152" s="4" t="n">
        <v>-0.0197572303684447</v>
      </c>
      <c r="K1152">
        <f>IF(AND(I1152&gt;0,J1152&gt;=Assumptions!$B$4),1,0)</f>
        <v/>
      </c>
      <c r="L1152" s="3">
        <f>I1152*K1152</f>
        <v/>
      </c>
      <c r="M1152">
        <f>SUM($K$2:K1152)</f>
        <v/>
      </c>
    </row>
    <row r="1153">
      <c r="A1153" t="inlineStr">
        <is>
          <t>050211</t>
        </is>
      </c>
      <c r="B1153" t="inlineStr">
        <is>
          <t>Alameda Hospital</t>
        </is>
      </c>
      <c r="C1153" t="inlineStr">
        <is>
          <t>CA</t>
        </is>
      </c>
      <c r="D1153" t="inlineStr">
        <is>
          <t>Metropolitan</t>
        </is>
      </c>
      <c r="E1153" s="5" t="n">
        <v>424</v>
      </c>
      <c r="F1153" s="4" t="n">
        <v>0.7806603773584906</v>
      </c>
      <c r="G1153" s="4" t="n">
        <v>0.7440566707287956</v>
      </c>
      <c r="H1153" s="3" t="n">
        <v>5753646.136414605</v>
      </c>
      <c r="I1153" s="3" t="n">
        <v>-92877.83491617908</v>
      </c>
      <c r="J1153" s="4" t="n">
        <v>-0.0161424308541254</v>
      </c>
      <c r="K1153">
        <f>IF(AND(I1153&gt;0,J1153&gt;=Assumptions!$B$4),1,0)</f>
        <v/>
      </c>
      <c r="L1153" s="3">
        <f>I1153*K1153</f>
        <v/>
      </c>
      <c r="M1153">
        <f>SUM($K$2:K1153)</f>
        <v/>
      </c>
    </row>
    <row r="1154">
      <c r="A1154" t="inlineStr">
        <is>
          <t>390066</t>
        </is>
      </c>
      <c r="B1154" t="inlineStr">
        <is>
          <t>Wellspan Good Samaritan Hospital</t>
        </is>
      </c>
      <c r="C1154" t="inlineStr">
        <is>
          <t>PA</t>
        </is>
      </c>
      <c r="D1154" t="inlineStr">
        <is>
          <t>Metropolitan</t>
        </is>
      </c>
      <c r="E1154" s="5" t="n">
        <v>1172</v>
      </c>
      <c r="F1154" s="4" t="n">
        <v>0.7482935153583617</v>
      </c>
      <c r="G1154" s="4" t="n">
        <v>0.7087696925414563</v>
      </c>
      <c r="H1154" s="3" t="n">
        <v>17934466.37666333</v>
      </c>
      <c r="I1154" s="3" t="n">
        <v>-93128.81299816816</v>
      </c>
      <c r="J1154" s="4" t="n">
        <v>-0.0051927284058671</v>
      </c>
      <c r="K1154">
        <f>IF(AND(I1154&gt;0,J1154&gt;=Assumptions!$B$4),1,0)</f>
        <v/>
      </c>
      <c r="L1154" s="3">
        <f>I1154*K1154</f>
        <v/>
      </c>
      <c r="M1154">
        <f>SUM($K$2:K1154)</f>
        <v/>
      </c>
    </row>
    <row r="1155">
      <c r="A1155" t="inlineStr">
        <is>
          <t>360008</t>
        </is>
      </c>
      <c r="B1155" t="inlineStr">
        <is>
          <t>Southern Ohio Medical Center</t>
        </is>
      </c>
      <c r="C1155" t="inlineStr">
        <is>
          <t>OH</t>
        </is>
      </c>
      <c r="D1155" t="inlineStr">
        <is>
          <t>Micropolitan</t>
        </is>
      </c>
      <c r="E1155" s="5" t="n">
        <v>1463</v>
      </c>
      <c r="F1155" s="4" t="n">
        <v>0.5550239234449761</v>
      </c>
      <c r="G1155" s="4" t="n">
        <v>0.5809409733321376</v>
      </c>
      <c r="H1155" s="3" t="n">
        <v>20668303.93890598</v>
      </c>
      <c r="I1155" s="3" t="n">
        <v>-94210.99362988023</v>
      </c>
      <c r="J1155" s="4" t="n">
        <v>-0.0045582353495652</v>
      </c>
      <c r="K1155">
        <f>IF(AND(I1155&gt;0,J1155&gt;=Assumptions!$B$4),1,0)</f>
        <v/>
      </c>
      <c r="L1155" s="3">
        <f>I1155*K1155</f>
        <v/>
      </c>
      <c r="M1155">
        <f>SUM($K$2:K1155)</f>
        <v/>
      </c>
    </row>
    <row r="1156">
      <c r="A1156" t="inlineStr">
        <is>
          <t>050348</t>
        </is>
      </c>
      <c r="B1156" t="inlineStr">
        <is>
          <t>University Of California Irvine Medical Center</t>
        </is>
      </c>
      <c r="C1156" t="inlineStr">
        <is>
          <t>CA</t>
        </is>
      </c>
      <c r="D1156" t="inlineStr">
        <is>
          <t>Metropolitan</t>
        </is>
      </c>
      <c r="E1156" s="5" t="n">
        <v>3189</v>
      </c>
      <c r="F1156" s="4" t="n">
        <v>0.5688303543430543</v>
      </c>
      <c r="G1156" s="4" t="n">
        <v>0.5634413708633181</v>
      </c>
      <c r="H1156" s="3" t="n">
        <v>63419743.19540402</v>
      </c>
      <c r="I1156" s="3" t="n">
        <v>-97038.76282687484</v>
      </c>
      <c r="J1156" s="4" t="n">
        <v>-0.0015301033706157</v>
      </c>
      <c r="K1156">
        <f>IF(AND(I1156&gt;0,J1156&gt;=Assumptions!$B$4),1,0)</f>
        <v/>
      </c>
      <c r="L1156" s="3">
        <f>I1156*K1156</f>
        <v/>
      </c>
      <c r="M1156">
        <f>SUM($K$2:K1156)</f>
        <v/>
      </c>
    </row>
    <row r="1157">
      <c r="A1157" t="inlineStr">
        <is>
          <t>070024</t>
        </is>
      </c>
      <c r="B1157" t="inlineStr">
        <is>
          <t>William W Backus Hospital</t>
        </is>
      </c>
      <c r="C1157" t="inlineStr">
        <is>
          <t>CT</t>
        </is>
      </c>
      <c r="D1157" t="inlineStr">
        <is>
          <t>Metropolitan</t>
        </is>
      </c>
      <c r="E1157" s="5" t="n">
        <v>1604</v>
      </c>
      <c r="F1157" s="4" t="n">
        <v>0.6384039900249376</v>
      </c>
      <c r="G1157" s="4" t="n">
        <v>0.6286976011818227</v>
      </c>
      <c r="H1157" s="3" t="n">
        <v>22628831.69269977</v>
      </c>
      <c r="I1157" s="3" t="n">
        <v>-97279.2540374659</v>
      </c>
      <c r="J1157" s="4" t="n">
        <v>-0.0042989074892827</v>
      </c>
      <c r="K1157">
        <f>IF(AND(I1157&gt;0,J1157&gt;=Assumptions!$B$4),1,0)</f>
        <v/>
      </c>
      <c r="L1157" s="3">
        <f>I1157*K1157</f>
        <v/>
      </c>
      <c r="M1157">
        <f>SUM($K$2:K1157)</f>
        <v/>
      </c>
    </row>
    <row r="1158">
      <c r="A1158" t="inlineStr">
        <is>
          <t>360036</t>
        </is>
      </c>
      <c r="B1158" t="inlineStr">
        <is>
          <t>Wooster Community Hospital</t>
        </is>
      </c>
      <c r="C1158" t="inlineStr">
        <is>
          <t>OH</t>
        </is>
      </c>
      <c r="D1158" t="inlineStr">
        <is>
          <t>Micropolitan</t>
        </is>
      </c>
      <c r="E1158" s="5" t="n">
        <v>488</v>
      </c>
      <c r="F1158" s="4" t="n">
        <v>0.6762295081967213</v>
      </c>
      <c r="G1158" s="4" t="n">
        <v>0.6539301353157637</v>
      </c>
      <c r="H1158" s="3" t="n">
        <v>5802452.608003399</v>
      </c>
      <c r="I1158" s="3" t="n">
        <v>-97355.19811021816</v>
      </c>
      <c r="J1158" s="4" t="n">
        <v>-0.0167782840614561</v>
      </c>
      <c r="K1158">
        <f>IF(AND(I1158&gt;0,J1158&gt;=Assumptions!$B$4),1,0)</f>
        <v/>
      </c>
      <c r="L1158" s="3">
        <f>I1158*K1158</f>
        <v/>
      </c>
      <c r="M1158">
        <f>SUM($K$2:K1158)</f>
        <v/>
      </c>
    </row>
    <row r="1159">
      <c r="A1159" t="inlineStr">
        <is>
          <t>390267</t>
        </is>
      </c>
      <c r="B1159" t="inlineStr">
        <is>
          <t>Forbes Hospital</t>
        </is>
      </c>
      <c r="C1159" t="inlineStr">
        <is>
          <t>PA</t>
        </is>
      </c>
      <c r="D1159" t="inlineStr">
        <is>
          <t>Metropolitan</t>
        </is>
      </c>
      <c r="E1159" s="5" t="n">
        <v>1302</v>
      </c>
      <c r="F1159" s="4" t="n">
        <v>0.5422427035330261</v>
      </c>
      <c r="G1159" s="4" t="n">
        <v>0.5733185392563135</v>
      </c>
      <c r="H1159" s="3" t="n">
        <v>19194428.53917967</v>
      </c>
      <c r="I1159" s="3" t="n">
        <v>-97941.56580539791</v>
      </c>
      <c r="J1159" s="4" t="n">
        <v>-0.0051026038939101</v>
      </c>
      <c r="K1159">
        <f>IF(AND(I1159&gt;0,J1159&gt;=Assumptions!$B$4),1,0)</f>
        <v/>
      </c>
      <c r="L1159" s="3">
        <f>I1159*K1159</f>
        <v/>
      </c>
      <c r="M1159">
        <f>SUM($K$2:K1159)</f>
        <v/>
      </c>
    </row>
    <row r="1160">
      <c r="A1160" t="inlineStr">
        <is>
          <t>250057</t>
        </is>
      </c>
      <c r="B1160" t="inlineStr">
        <is>
          <t>King's Daughters Medical Center-Brookhaven</t>
        </is>
      </c>
      <c r="C1160" t="inlineStr">
        <is>
          <t>MS</t>
        </is>
      </c>
      <c r="D1160" t="inlineStr">
        <is>
          <t>Micropolitan</t>
        </is>
      </c>
      <c r="E1160" s="5" t="n">
        <v>367</v>
      </c>
      <c r="F1160" s="4" t="n">
        <v>0.7656675749318801</v>
      </c>
      <c r="G1160" s="4" t="n">
        <v>0.7163063546976877</v>
      </c>
      <c r="H1160" s="3" t="n">
        <v>5553366.067011879</v>
      </c>
      <c r="I1160" s="3" t="n">
        <v>-98607.43264392111</v>
      </c>
      <c r="J1160" s="4" t="n">
        <v>-0.0177563357887875</v>
      </c>
      <c r="K1160">
        <f>IF(AND(I1160&gt;0,J1160&gt;=Assumptions!$B$4),1,0)</f>
        <v/>
      </c>
      <c r="L1160" s="3">
        <f>I1160*K1160</f>
        <v/>
      </c>
      <c r="M1160">
        <f>SUM($K$2:K1160)</f>
        <v/>
      </c>
    </row>
    <row r="1161">
      <c r="A1161" t="inlineStr">
        <is>
          <t>670060</t>
        </is>
      </c>
      <c r="B1161" t="inlineStr">
        <is>
          <t>Baylor Scott And White Medical Center Sunnyvale</t>
        </is>
      </c>
      <c r="C1161" t="inlineStr">
        <is>
          <t>TX</t>
        </is>
      </c>
      <c r="D1161" t="inlineStr">
        <is>
          <t>Metropolitan</t>
        </is>
      </c>
      <c r="E1161" s="5" t="n">
        <v>318</v>
      </c>
      <c r="F1161" s="4" t="n">
        <v>0.7641509433962265</v>
      </c>
      <c r="G1161" s="4" t="n">
        <v>0.7171704496765885</v>
      </c>
      <c r="H1161" s="3" t="n">
        <v>3960270.456197433</v>
      </c>
      <c r="I1161" s="3" t="n">
        <v>-99010.13868983836</v>
      </c>
      <c r="J1161" s="4" t="n">
        <v>-0.0250008527914797</v>
      </c>
      <c r="K1161">
        <f>IF(AND(I1161&gt;0,J1161&gt;=Assumptions!$B$4),1,0)</f>
        <v/>
      </c>
      <c r="L1161" s="3">
        <f>I1161*K1161</f>
        <v/>
      </c>
      <c r="M1161">
        <f>SUM($K$2:K1161)</f>
        <v/>
      </c>
    </row>
    <row r="1162">
      <c r="A1162" t="inlineStr">
        <is>
          <t>160045</t>
        </is>
      </c>
      <c r="B1162" t="inlineStr">
        <is>
          <t>St Lukes Hospital</t>
        </is>
      </c>
      <c r="C1162" t="inlineStr">
        <is>
          <t>IA</t>
        </is>
      </c>
      <c r="D1162" t="inlineStr">
        <is>
          <t>Metropolitan</t>
        </is>
      </c>
      <c r="E1162" s="5" t="n">
        <v>2067</v>
      </c>
      <c r="F1162" s="4" t="n">
        <v>0.5844218674407353</v>
      </c>
      <c r="G1162" s="4" t="n">
        <v>0.5534390315973768</v>
      </c>
      <c r="H1162" s="3" t="n">
        <v>36071210.14314103</v>
      </c>
      <c r="I1162" s="3" t="n">
        <v>-99443.7170061916</v>
      </c>
      <c r="J1162" s="4" t="n">
        <v>-0.0027568722150316</v>
      </c>
      <c r="K1162">
        <f>IF(AND(I1162&gt;0,J1162&gt;=Assumptions!$B$4),1,0)</f>
        <v/>
      </c>
      <c r="L1162" s="3">
        <f>I1162*K1162</f>
        <v/>
      </c>
      <c r="M1162">
        <f>SUM($K$2:K1162)</f>
        <v/>
      </c>
    </row>
    <row r="1163">
      <c r="A1163" t="inlineStr">
        <is>
          <t>180093</t>
        </is>
      </c>
      <c r="B1163" t="inlineStr">
        <is>
          <t>Baptist Health Deaconess Madisonville</t>
        </is>
      </c>
      <c r="C1163" t="inlineStr">
        <is>
          <t>KY</t>
        </is>
      </c>
      <c r="D1163" t="inlineStr">
        <is>
          <t>Micropolitan</t>
        </is>
      </c>
      <c r="E1163" s="5" t="n">
        <v>714</v>
      </c>
      <c r="F1163" s="4" t="n">
        <v>0.6386554621848739</v>
      </c>
      <c r="G1163" s="4" t="n">
        <v>0.6447374998072699</v>
      </c>
      <c r="H1163" s="3" t="n">
        <v>9538241.419439171</v>
      </c>
      <c r="I1163" s="3" t="n">
        <v>-103076.0383525286</v>
      </c>
      <c r="J1163" s="4" t="n">
        <v>-0.0108066082435759</v>
      </c>
      <c r="K1163">
        <f>IF(AND(I1163&gt;0,J1163&gt;=Assumptions!$B$4),1,0)</f>
        <v/>
      </c>
      <c r="L1163" s="3">
        <f>I1163*K1163</f>
        <v/>
      </c>
      <c r="M1163">
        <f>SUM($K$2:K1163)</f>
        <v/>
      </c>
    </row>
    <row r="1164">
      <c r="A1164" t="inlineStr">
        <is>
          <t>360014</t>
        </is>
      </c>
      <c r="B1164" t="inlineStr">
        <is>
          <t>Ohiohealth O'bleness Hospital</t>
        </is>
      </c>
      <c r="C1164" t="inlineStr">
        <is>
          <t>OH</t>
        </is>
      </c>
      <c r="D1164" t="inlineStr">
        <is>
          <t>Micropolitan</t>
        </is>
      </c>
      <c r="E1164" s="5" t="n">
        <v>431</v>
      </c>
      <c r="F1164" s="4" t="n">
        <v>0.7865429234338747</v>
      </c>
      <c r="G1164" s="4" t="n">
        <v>0.7432211952703889</v>
      </c>
      <c r="H1164" s="3" t="n">
        <v>5581311.66483552</v>
      </c>
      <c r="I1164" s="3" t="n">
        <v>-104242.2286793729</v>
      </c>
      <c r="J1164" s="4" t="n">
        <v>-0.0186770126700037</v>
      </c>
      <c r="K1164">
        <f>IF(AND(I1164&gt;0,J1164&gt;=Assumptions!$B$4),1,0)</f>
        <v/>
      </c>
      <c r="L1164" s="3">
        <f>I1164*K1164</f>
        <v/>
      </c>
      <c r="M1164">
        <f>SUM($K$2:K1164)</f>
        <v/>
      </c>
    </row>
    <row r="1165">
      <c r="A1165" t="inlineStr">
        <is>
          <t>340015</t>
        </is>
      </c>
      <c r="B1165" t="inlineStr">
        <is>
          <t>Novant Health Rowan Medical Center</t>
        </is>
      </c>
      <c r="C1165" t="inlineStr">
        <is>
          <t>NC</t>
        </is>
      </c>
      <c r="D1165" t="inlineStr">
        <is>
          <t>Metropolitan</t>
        </is>
      </c>
      <c r="E1165" s="5" t="n">
        <v>895</v>
      </c>
      <c r="F1165" s="4" t="n">
        <v>0.646927374301676</v>
      </c>
      <c r="G1165" s="4" t="n">
        <v>0.6207275993589551</v>
      </c>
      <c r="H1165" s="3" t="n">
        <v>12112179.94945903</v>
      </c>
      <c r="I1165" s="3" t="n">
        <v>-104370.1502067447</v>
      </c>
      <c r="J1165" s="4" t="n">
        <v>-0.008616958354503801</v>
      </c>
      <c r="K1165">
        <f>IF(AND(I1165&gt;0,J1165&gt;=Assumptions!$B$4),1,0)</f>
        <v/>
      </c>
      <c r="L1165" s="3">
        <f>I1165*K1165</f>
        <v/>
      </c>
      <c r="M1165">
        <f>SUM($K$2:K1165)</f>
        <v/>
      </c>
    </row>
    <row r="1166">
      <c r="A1166" t="inlineStr">
        <is>
          <t>100252</t>
        </is>
      </c>
      <c r="B1166" t="inlineStr">
        <is>
          <t>Hca Florida Raulerson Hospital</t>
        </is>
      </c>
      <c r="C1166" t="inlineStr">
        <is>
          <t>FL</t>
        </is>
      </c>
      <c r="D1166" t="inlineStr">
        <is>
          <t>Rural</t>
        </is>
      </c>
      <c r="E1166" s="5" t="n">
        <v>471</v>
      </c>
      <c r="F1166" s="4" t="n">
        <v>0.6645435244161358</v>
      </c>
      <c r="G1166" s="4" t="n">
        <v>0.6612034254134516</v>
      </c>
      <c r="H1166" s="3" t="n">
        <v>5490293.822049133</v>
      </c>
      <c r="I1166" s="3" t="n">
        <v>-105941.9484359445</v>
      </c>
      <c r="J1166" s="4" t="n">
        <v>-0.0192962256428753</v>
      </c>
      <c r="K1166">
        <f>IF(AND(I1166&gt;0,J1166&gt;=Assumptions!$B$4),1,0)</f>
        <v/>
      </c>
      <c r="L1166" s="3">
        <f>I1166*K1166</f>
        <v/>
      </c>
      <c r="M1166">
        <f>SUM($K$2:K1166)</f>
        <v/>
      </c>
    </row>
    <row r="1167">
      <c r="A1167" t="inlineStr">
        <is>
          <t>180018</t>
        </is>
      </c>
      <c r="B1167" t="inlineStr">
        <is>
          <t>St Claire Regional Medical Center</t>
        </is>
      </c>
      <c r="C1167" t="inlineStr">
        <is>
          <t>KY</t>
        </is>
      </c>
      <c r="D1167" t="inlineStr">
        <is>
          <t>Rural</t>
        </is>
      </c>
      <c r="E1167" s="5" t="n">
        <v>453</v>
      </c>
      <c r="F1167" s="4" t="n">
        <v>0.8366445916114791</v>
      </c>
      <c r="G1167" s="4" t="n">
        <v>0.7874152969691769</v>
      </c>
      <c r="H1167" s="3" t="n">
        <v>6771750.394286203</v>
      </c>
      <c r="I1167" s="3" t="n">
        <v>-105965.1825273717</v>
      </c>
      <c r="J1167" s="4" t="n">
        <v>-0.0156481229161638</v>
      </c>
      <c r="K1167">
        <f>IF(AND(I1167&gt;0,J1167&gt;=Assumptions!$B$4),1,0)</f>
        <v/>
      </c>
      <c r="L1167" s="3">
        <f>I1167*K1167</f>
        <v/>
      </c>
      <c r="M1167">
        <f>SUM($K$2:K1167)</f>
        <v/>
      </c>
    </row>
    <row r="1168">
      <c r="A1168" t="inlineStr">
        <is>
          <t>200024</t>
        </is>
      </c>
      <c r="B1168" t="inlineStr">
        <is>
          <t>Central Maine Medical Center</t>
        </is>
      </c>
      <c r="C1168" t="inlineStr">
        <is>
          <t>ME</t>
        </is>
      </c>
      <c r="D1168" t="inlineStr">
        <is>
          <t>Metropolitan</t>
        </is>
      </c>
      <c r="E1168" s="5" t="n">
        <v>817</v>
      </c>
      <c r="F1168" s="4" t="n">
        <v>0.6976744186046512</v>
      </c>
      <c r="G1168" s="4" t="n">
        <v>0.672211119245835</v>
      </c>
      <c r="H1168" s="3" t="n">
        <v>11557803.40717198</v>
      </c>
      <c r="I1168" s="3" t="n">
        <v>-107663.969004022</v>
      </c>
      <c r="J1168" s="4" t="n">
        <v>-0.009315262183574801</v>
      </c>
      <c r="K1168">
        <f>IF(AND(I1168&gt;0,J1168&gt;=Assumptions!$B$4),1,0)</f>
        <v/>
      </c>
      <c r="L1168" s="3">
        <f>I1168*K1168</f>
        <v/>
      </c>
      <c r="M1168">
        <f>SUM($K$2:K1168)</f>
        <v/>
      </c>
    </row>
    <row r="1169">
      <c r="A1169" t="inlineStr">
        <is>
          <t>040022</t>
        </is>
      </c>
      <c r="B1169" t="inlineStr">
        <is>
          <t>Northwest Medical Center</t>
        </is>
      </c>
      <c r="C1169" t="inlineStr">
        <is>
          <t>AR</t>
        </is>
      </c>
      <c r="D1169" t="inlineStr">
        <is>
          <t>Metropolitan</t>
        </is>
      </c>
      <c r="E1169" s="5" t="n">
        <v>959</v>
      </c>
      <c r="F1169" s="4" t="n">
        <v>0.5776850886339937</v>
      </c>
      <c r="G1169" s="4" t="n">
        <v>0.5755429365362515</v>
      </c>
      <c r="H1169" s="3" t="n">
        <v>13630403.58144067</v>
      </c>
      <c r="I1169" s="3" t="n">
        <v>-107842.4683276415</v>
      </c>
      <c r="J1169" s="4" t="n">
        <v>-0.0079119057394955</v>
      </c>
      <c r="K1169">
        <f>IF(AND(I1169&gt;0,J1169&gt;=Assumptions!$B$4),1,0)</f>
        <v/>
      </c>
      <c r="L1169" s="3">
        <f>I1169*K1169</f>
        <v/>
      </c>
      <c r="M1169">
        <f>SUM($K$2:K1169)</f>
        <v/>
      </c>
    </row>
    <row r="1170">
      <c r="A1170" t="inlineStr">
        <is>
          <t>150165</t>
        </is>
      </c>
      <c r="B1170" t="inlineStr">
        <is>
          <t>Franciscan Health Munster</t>
        </is>
      </c>
      <c r="C1170" t="inlineStr">
        <is>
          <t>IN</t>
        </is>
      </c>
      <c r="D1170" t="inlineStr">
        <is>
          <t>Metropolitan</t>
        </is>
      </c>
      <c r="E1170" s="5" t="n">
        <v>586</v>
      </c>
      <c r="F1170" s="4" t="n">
        <v>0.6877133105802048</v>
      </c>
      <c r="G1170" s="4" t="n">
        <v>0.671104223852335</v>
      </c>
      <c r="H1170" s="3" t="n">
        <v>7956540.697277947</v>
      </c>
      <c r="I1170" s="3" t="n">
        <v>-107939.8780992422</v>
      </c>
      <c r="J1170" s="4" t="n">
        <v>-0.0135661818629508</v>
      </c>
      <c r="K1170">
        <f>IF(AND(I1170&gt;0,J1170&gt;=Assumptions!$B$4),1,0)</f>
        <v/>
      </c>
      <c r="L1170" s="3">
        <f>I1170*K1170</f>
        <v/>
      </c>
      <c r="M1170">
        <f>SUM($K$2:K1170)</f>
        <v/>
      </c>
    </row>
    <row r="1171">
      <c r="A1171" t="inlineStr">
        <is>
          <t>100075</t>
        </is>
      </c>
      <c r="B1171" t="inlineStr">
        <is>
          <t>St Josephs Hospital</t>
        </is>
      </c>
      <c r="C1171" t="inlineStr">
        <is>
          <t>FL</t>
        </is>
      </c>
      <c r="D1171" t="inlineStr">
        <is>
          <t>Metropolitan</t>
        </is>
      </c>
      <c r="E1171" s="5" t="n">
        <v>7369</v>
      </c>
      <c r="F1171" s="4" t="n">
        <v>0.5668340344687203</v>
      </c>
      <c r="G1171" s="4" t="n">
        <v>0.5686532189316748</v>
      </c>
      <c r="H1171" s="3" t="n">
        <v>116455413.1269911</v>
      </c>
      <c r="I1171" s="3" t="n">
        <v>-108042.1787649095</v>
      </c>
      <c r="J1171" s="4" t="n">
        <v>-0.0009277557467173</v>
      </c>
      <c r="K1171">
        <f>IF(AND(I1171&gt;0,J1171&gt;=Assumptions!$B$4),1,0)</f>
        <v/>
      </c>
      <c r="L1171" s="3">
        <f>I1171*K1171</f>
        <v/>
      </c>
      <c r="M1171">
        <f>SUM($K$2:K1171)</f>
        <v/>
      </c>
    </row>
    <row r="1172">
      <c r="A1172" t="inlineStr">
        <is>
          <t>010040</t>
        </is>
      </c>
      <c r="B1172" t="inlineStr">
        <is>
          <t>Gadsden Regional Medical Center</t>
        </is>
      </c>
      <c r="C1172" t="inlineStr">
        <is>
          <t>AL</t>
        </is>
      </c>
      <c r="D1172" t="inlineStr">
        <is>
          <t>Metropolitan</t>
        </is>
      </c>
      <c r="E1172" s="5" t="n">
        <v>835</v>
      </c>
      <c r="F1172" s="4" t="n">
        <v>0.6706586826347305</v>
      </c>
      <c r="G1172" s="4" t="n">
        <v>0.6512462612507154</v>
      </c>
      <c r="H1172" s="3" t="n">
        <v>10993701.03437388</v>
      </c>
      <c r="I1172" s="3" t="n">
        <v>-108982.6642780528</v>
      </c>
      <c r="J1172" s="4" t="n">
        <v>-0.009913191557356101</v>
      </c>
      <c r="K1172">
        <f>IF(AND(I1172&gt;0,J1172&gt;=Assumptions!$B$4),1,0)</f>
        <v/>
      </c>
      <c r="L1172" s="3">
        <f>I1172*K1172</f>
        <v/>
      </c>
      <c r="M1172">
        <f>SUM($K$2:K1172)</f>
        <v/>
      </c>
    </row>
    <row r="1173">
      <c r="A1173" t="inlineStr">
        <is>
          <t>490043</t>
        </is>
      </c>
      <c r="B1173" t="inlineStr">
        <is>
          <t>Inova Loudoun Hospital</t>
        </is>
      </c>
      <c r="C1173" t="inlineStr">
        <is>
          <t>VA</t>
        </is>
      </c>
      <c r="D1173" t="inlineStr">
        <is>
          <t>Metropolitan</t>
        </is>
      </c>
      <c r="E1173" s="5" t="n">
        <v>3310</v>
      </c>
      <c r="F1173" s="4" t="n">
        <v>0.6003021148036254</v>
      </c>
      <c r="G1173" s="4" t="n">
        <v>0.5971811962015743</v>
      </c>
      <c r="H1173" s="3" t="n">
        <v>47521287.38780547</v>
      </c>
      <c r="I1173" s="3" t="n">
        <v>-110105.569115892</v>
      </c>
      <c r="J1173" s="4" t="n">
        <v>-0.0023169736168415</v>
      </c>
      <c r="K1173">
        <f>IF(AND(I1173&gt;0,J1173&gt;=Assumptions!$B$4),1,0)</f>
        <v/>
      </c>
      <c r="L1173" s="3">
        <f>I1173*K1173</f>
        <v/>
      </c>
      <c r="M1173">
        <f>SUM($K$2:K1173)</f>
        <v/>
      </c>
    </row>
    <row r="1174">
      <c r="A1174" t="inlineStr">
        <is>
          <t>380017</t>
        </is>
      </c>
      <c r="B1174" t="inlineStr">
        <is>
          <t>Legacy Good Samaritan Medical Center</t>
        </is>
      </c>
      <c r="C1174" t="inlineStr">
        <is>
          <t>OR</t>
        </is>
      </c>
      <c r="D1174" t="inlineStr">
        <is>
          <t>Metropolitan</t>
        </is>
      </c>
      <c r="E1174" s="5" t="n">
        <v>678</v>
      </c>
      <c r="F1174" s="4" t="n">
        <v>0.700589970501475</v>
      </c>
      <c r="G1174" s="4" t="n">
        <v>0.6482598124647433</v>
      </c>
      <c r="H1174" s="3" t="n">
        <v>11439271.13390344</v>
      </c>
      <c r="I1174" s="3" t="n">
        <v>-110728.8578447029</v>
      </c>
      <c r="J1174" s="4" t="n">
        <v>-0.009679712679991201</v>
      </c>
      <c r="K1174">
        <f>IF(AND(I1174&gt;0,J1174&gt;=Assumptions!$B$4),1,0)</f>
        <v/>
      </c>
      <c r="L1174" s="3">
        <f>I1174*K1174</f>
        <v/>
      </c>
      <c r="M1174">
        <f>SUM($K$2:K1174)</f>
        <v/>
      </c>
    </row>
    <row r="1175">
      <c r="A1175" t="inlineStr">
        <is>
          <t>450101</t>
        </is>
      </c>
      <c r="B1175" t="inlineStr">
        <is>
          <t>Baylor Scott &amp; White Medical Center Hillcrest</t>
        </is>
      </c>
      <c r="C1175" t="inlineStr">
        <is>
          <t>TX</t>
        </is>
      </c>
      <c r="D1175" t="inlineStr">
        <is>
          <t>Metropolitan</t>
        </is>
      </c>
      <c r="E1175" s="5" t="n">
        <v>1586</v>
      </c>
      <c r="F1175" s="4" t="n">
        <v>0.5920554854981085</v>
      </c>
      <c r="G1175" s="4" t="n">
        <v>0.5754607877637676</v>
      </c>
      <c r="H1175" s="3" t="n">
        <v>23763063.42447153</v>
      </c>
      <c r="I1175" s="3" t="n">
        <v>-111560.574235227</v>
      </c>
      <c r="J1175" s="4" t="n">
        <v>-0.004694705065692</v>
      </c>
      <c r="K1175">
        <f>IF(AND(I1175&gt;0,J1175&gt;=Assumptions!$B$4),1,0)</f>
        <v/>
      </c>
      <c r="L1175" s="3">
        <f>I1175*K1175</f>
        <v/>
      </c>
      <c r="M1175">
        <f>SUM($K$2:K1175)</f>
        <v/>
      </c>
    </row>
    <row r="1176">
      <c r="A1176" t="inlineStr">
        <is>
          <t>300029</t>
        </is>
      </c>
      <c r="B1176" t="inlineStr">
        <is>
          <t>Portsmouth Regional Hospital</t>
        </is>
      </c>
      <c r="C1176" t="inlineStr">
        <is>
          <t>NH</t>
        </is>
      </c>
      <c r="D1176" t="inlineStr">
        <is>
          <t>Metropolitan</t>
        </is>
      </c>
      <c r="E1176" s="5" t="n">
        <v>2012</v>
      </c>
      <c r="F1176" s="4" t="n">
        <v>0.5173956262425448</v>
      </c>
      <c r="G1176" s="4" t="n">
        <v>0.5236815628380309</v>
      </c>
      <c r="H1176" s="3" t="n">
        <v>32979480.15301764</v>
      </c>
      <c r="I1176" s="3" t="n">
        <v>-112039.876531601</v>
      </c>
      <c r="J1176" s="4" t="n">
        <v>-0.0033972602361153</v>
      </c>
      <c r="K1176">
        <f>IF(AND(I1176&gt;0,J1176&gt;=Assumptions!$B$4),1,0)</f>
        <v/>
      </c>
      <c r="L1176" s="3">
        <f>I1176*K1176</f>
        <v/>
      </c>
      <c r="M1176">
        <f>SUM($K$2:K1176)</f>
        <v/>
      </c>
    </row>
    <row r="1177">
      <c r="A1177" t="inlineStr">
        <is>
          <t>450271</t>
        </is>
      </c>
      <c r="B1177" t="inlineStr">
        <is>
          <t>Medical City Decatur</t>
        </is>
      </c>
      <c r="C1177" t="inlineStr">
        <is>
          <t>TX</t>
        </is>
      </c>
      <c r="D1177" t="inlineStr">
        <is>
          <t>Small town</t>
        </is>
      </c>
      <c r="E1177" s="5" t="n">
        <v>748</v>
      </c>
      <c r="F1177" s="4" t="n">
        <v>0.6631016042780749</v>
      </c>
      <c r="G1177" s="4" t="n">
        <v>0.6283561253123698</v>
      </c>
      <c r="H1177" s="3" t="n">
        <v>9809263.302871017</v>
      </c>
      <c r="I1177" s="3" t="n">
        <v>-112189.2500241622</v>
      </c>
      <c r="J1177" s="4" t="n">
        <v>-0.0114370719349868</v>
      </c>
      <c r="K1177">
        <f>IF(AND(I1177&gt;0,J1177&gt;=Assumptions!$B$4),1,0)</f>
        <v/>
      </c>
      <c r="L1177" s="3">
        <f>I1177*K1177</f>
        <v/>
      </c>
      <c r="M1177">
        <f>SUM($K$2:K1177)</f>
        <v/>
      </c>
    </row>
    <row r="1178">
      <c r="A1178" t="inlineStr">
        <is>
          <t>010103</t>
        </is>
      </c>
      <c r="B1178" t="inlineStr">
        <is>
          <t>Princeton Baptist Medical Center</t>
        </is>
      </c>
      <c r="C1178" t="inlineStr">
        <is>
          <t>AL</t>
        </is>
      </c>
      <c r="D1178" t="inlineStr">
        <is>
          <t>Metropolitan</t>
        </is>
      </c>
      <c r="E1178" s="5" t="n">
        <v>722</v>
      </c>
      <c r="F1178" s="4" t="n">
        <v>0.7008310249307479</v>
      </c>
      <c r="G1178" s="4" t="n">
        <v>0.6722851212609199</v>
      </c>
      <c r="H1178" s="3" t="n">
        <v>11566957.15658434</v>
      </c>
      <c r="I1178" s="3" t="n">
        <v>-113278.7420505378</v>
      </c>
      <c r="J1178" s="4" t="n">
        <v>-0.009793305232919901</v>
      </c>
      <c r="K1178">
        <f>IF(AND(I1178&gt;0,J1178&gt;=Assumptions!$B$4),1,0)</f>
        <v/>
      </c>
      <c r="L1178" s="3">
        <f>I1178*K1178</f>
        <v/>
      </c>
      <c r="M1178">
        <f>SUM($K$2:K1178)</f>
        <v/>
      </c>
    </row>
    <row r="1179">
      <c r="A1179" t="inlineStr">
        <is>
          <t>100211</t>
        </is>
      </c>
      <c r="B1179" t="inlineStr">
        <is>
          <t>Adventhealth Dade City</t>
        </is>
      </c>
      <c r="C1179" t="inlineStr">
        <is>
          <t>FL</t>
        </is>
      </c>
      <c r="D1179" t="inlineStr">
        <is>
          <t>Metropolitan</t>
        </is>
      </c>
      <c r="E1179" s="5" t="n">
        <v>434</v>
      </c>
      <c r="F1179" s="4" t="n">
        <v>0.8110599078341014</v>
      </c>
      <c r="G1179" s="4" t="n">
        <v>0.7504601030483191</v>
      </c>
      <c r="H1179" s="3" t="n">
        <v>5637715.488292288</v>
      </c>
      <c r="I1179" s="3" t="n">
        <v>-113413.2222205866</v>
      </c>
      <c r="J1179" s="4" t="n">
        <v>-0.0201168757905767</v>
      </c>
      <c r="K1179">
        <f>IF(AND(I1179&gt;0,J1179&gt;=Assumptions!$B$4),1,0)</f>
        <v/>
      </c>
      <c r="L1179" s="3">
        <f>I1179*K1179</f>
        <v/>
      </c>
      <c r="M1179">
        <f>SUM($K$2:K1179)</f>
        <v/>
      </c>
    </row>
    <row r="1180">
      <c r="A1180" t="inlineStr">
        <is>
          <t>160153</t>
        </is>
      </c>
      <c r="B1180" t="inlineStr">
        <is>
          <t>Mercyone Siouxland Medical Center</t>
        </is>
      </c>
      <c r="C1180" t="inlineStr">
        <is>
          <t>IA</t>
        </is>
      </c>
      <c r="D1180" t="inlineStr">
        <is>
          <t>Metropolitan</t>
        </is>
      </c>
      <c r="E1180" s="5" t="n">
        <v>988</v>
      </c>
      <c r="F1180" s="4" t="n">
        <v>0.6457489878542511</v>
      </c>
      <c r="G1180" s="4" t="n">
        <v>0.6145589481837612</v>
      </c>
      <c r="H1180" s="3" t="n">
        <v>17614766.4669641</v>
      </c>
      <c r="I1180" s="3" t="n">
        <v>-113945.8334301226</v>
      </c>
      <c r="J1180" s="4" t="n">
        <v>-0.0064687677604936</v>
      </c>
      <c r="K1180">
        <f>IF(AND(I1180&gt;0,J1180&gt;=Assumptions!$B$4),1,0)</f>
        <v/>
      </c>
      <c r="L1180" s="3">
        <f>I1180*K1180</f>
        <v/>
      </c>
      <c r="M1180">
        <f>SUM($K$2:K1180)</f>
        <v/>
      </c>
    </row>
    <row r="1181">
      <c r="A1181" t="inlineStr">
        <is>
          <t>410004</t>
        </is>
      </c>
      <c r="B1181" t="inlineStr">
        <is>
          <t>Roger Williams Medical Center</t>
        </is>
      </c>
      <c r="C1181" t="inlineStr">
        <is>
          <t>RI</t>
        </is>
      </c>
      <c r="D1181" t="inlineStr">
        <is>
          <t>Metropolitan</t>
        </is>
      </c>
      <c r="E1181" s="5" t="n">
        <v>329</v>
      </c>
      <c r="F1181" s="4" t="n">
        <v>0.7173252279635258</v>
      </c>
      <c r="G1181" s="4" t="n">
        <v>0.6388436817000231</v>
      </c>
      <c r="H1181" s="3" t="n">
        <v>3941341.881426165</v>
      </c>
      <c r="I1181" s="3" t="n">
        <v>-114982.8568284037</v>
      </c>
      <c r="J1181" s="4" t="n">
        <v>-0.0291735303070936</v>
      </c>
      <c r="K1181">
        <f>IF(AND(I1181&gt;0,J1181&gt;=Assumptions!$B$4),1,0)</f>
        <v/>
      </c>
      <c r="L1181" s="3">
        <f>I1181*K1181</f>
        <v/>
      </c>
      <c r="M1181">
        <f>SUM($K$2:K1181)</f>
        <v/>
      </c>
    </row>
    <row r="1182">
      <c r="A1182" t="inlineStr">
        <is>
          <t>250084</t>
        </is>
      </c>
      <c r="B1182" t="inlineStr">
        <is>
          <t>Merit Health Natchez</t>
        </is>
      </c>
      <c r="C1182" t="inlineStr">
        <is>
          <t>MS</t>
        </is>
      </c>
      <c r="D1182" t="inlineStr">
        <is>
          <t>Micropolitan</t>
        </is>
      </c>
      <c r="E1182" s="5" t="n">
        <v>314</v>
      </c>
      <c r="F1182" s="4" t="n">
        <v>0.7866242038216561</v>
      </c>
      <c r="G1182" s="4" t="n">
        <v>0.7262453963582464</v>
      </c>
      <c r="H1182" s="3" t="n">
        <v>4340408.892792602</v>
      </c>
      <c r="I1182" s="3" t="n">
        <v>-115095.2866235068</v>
      </c>
      <c r="J1182" s="4" t="n">
        <v>-0.0265171529840486</v>
      </c>
      <c r="K1182">
        <f>IF(AND(I1182&gt;0,J1182&gt;=Assumptions!$B$4),1,0)</f>
        <v/>
      </c>
      <c r="L1182" s="3">
        <f>I1182*K1182</f>
        <v/>
      </c>
      <c r="M1182">
        <f>SUM($K$2:K1182)</f>
        <v/>
      </c>
    </row>
    <row r="1183">
      <c r="A1183" t="inlineStr">
        <is>
          <t>340016</t>
        </is>
      </c>
      <c r="B1183" t="inlineStr">
        <is>
          <t>Harris Regional Hospital</t>
        </is>
      </c>
      <c r="C1183" t="inlineStr">
        <is>
          <t>NC</t>
        </is>
      </c>
      <c r="D1183" t="inlineStr">
        <is>
          <t>Micropolitan</t>
        </is>
      </c>
      <c r="E1183" s="5" t="n">
        <v>306</v>
      </c>
      <c r="F1183" s="4" t="n">
        <v>0.7941176470588235</v>
      </c>
      <c r="G1183" s="4" t="n">
        <v>0.7142161617396483</v>
      </c>
      <c r="H1183" s="3" t="n">
        <v>4378905.08735386</v>
      </c>
      <c r="I1183" s="3" t="n">
        <v>-115397.1552382335</v>
      </c>
      <c r="J1183" s="4" t="n">
        <v>-0.0263529701914519</v>
      </c>
      <c r="K1183">
        <f>IF(AND(I1183&gt;0,J1183&gt;=Assumptions!$B$4),1,0)</f>
        <v/>
      </c>
      <c r="L1183" s="3">
        <f>I1183*K1183</f>
        <v/>
      </c>
      <c r="M1183">
        <f>SUM($K$2:K1183)</f>
        <v/>
      </c>
    </row>
    <row r="1184">
      <c r="A1184" t="inlineStr">
        <is>
          <t>110001</t>
        </is>
      </c>
      <c r="B1184" t="inlineStr">
        <is>
          <t>Hamilton Medical Center</t>
        </is>
      </c>
      <c r="C1184" t="inlineStr">
        <is>
          <t>GA</t>
        </is>
      </c>
      <c r="D1184" t="inlineStr">
        <is>
          <t>Metropolitan</t>
        </is>
      </c>
      <c r="E1184" s="5" t="n">
        <v>1461</v>
      </c>
      <c r="F1184" s="4" t="n">
        <v>0.6030116358658453</v>
      </c>
      <c r="G1184" s="4" t="n">
        <v>0.5908937393551575</v>
      </c>
      <c r="H1184" s="3" t="n">
        <v>19724314.23809858</v>
      </c>
      <c r="I1184" s="3" t="n">
        <v>-118123.5166894235</v>
      </c>
      <c r="J1184" s="4" t="n">
        <v>-0.0059887261611996</v>
      </c>
      <c r="K1184">
        <f>IF(AND(I1184&gt;0,J1184&gt;=Assumptions!$B$4),1,0)</f>
        <v/>
      </c>
      <c r="L1184" s="3">
        <f>I1184*K1184</f>
        <v/>
      </c>
      <c r="M1184">
        <f>SUM($K$2:K1184)</f>
        <v/>
      </c>
    </row>
    <row r="1185">
      <c r="A1185" t="inlineStr">
        <is>
          <t>150090</t>
        </is>
      </c>
      <c r="B1185" t="inlineStr">
        <is>
          <t>Franciscan Health Dyer</t>
        </is>
      </c>
      <c r="C1185" t="inlineStr">
        <is>
          <t>IN</t>
        </is>
      </c>
      <c r="D1185" t="inlineStr">
        <is>
          <t>Metropolitan</t>
        </is>
      </c>
      <c r="E1185" s="5" t="n">
        <v>930</v>
      </c>
      <c r="F1185" s="4" t="n">
        <v>0.6709677419354839</v>
      </c>
      <c r="G1185" s="4" t="n">
        <v>0.6557605656447857</v>
      </c>
      <c r="H1185" s="3" t="n">
        <v>13295888.98682896</v>
      </c>
      <c r="I1185" s="3" t="n">
        <v>-119973.8561415281</v>
      </c>
      <c r="J1185" s="4" t="n">
        <v>-0.009023379802612299</v>
      </c>
      <c r="K1185">
        <f>IF(AND(I1185&gt;0,J1185&gt;=Assumptions!$B$4),1,0)</f>
        <v/>
      </c>
      <c r="L1185" s="3">
        <f>I1185*K1185</f>
        <v/>
      </c>
      <c r="M1185">
        <f>SUM($K$2:K1185)</f>
        <v/>
      </c>
    </row>
    <row r="1186">
      <c r="A1186" t="inlineStr">
        <is>
          <t>110192</t>
        </is>
      </c>
      <c r="B1186" t="inlineStr">
        <is>
          <t>Piedmont Eastside Medical Center</t>
        </is>
      </c>
      <c r="C1186" t="inlineStr">
        <is>
          <t>GA</t>
        </is>
      </c>
      <c r="D1186" t="inlineStr">
        <is>
          <t>Metropolitan</t>
        </is>
      </c>
      <c r="E1186" s="5" t="n">
        <v>1071</v>
      </c>
      <c r="F1186" s="4" t="n">
        <v>0.6862745098039216</v>
      </c>
      <c r="G1186" s="4" t="n">
        <v>0.6728922811978671</v>
      </c>
      <c r="H1186" s="3" t="n">
        <v>14415606.90262062</v>
      </c>
      <c r="I1186" s="3" t="n">
        <v>-121253.6070001163</v>
      </c>
      <c r="J1186" s="4" t="n">
        <v>-0.0084112731305175</v>
      </c>
      <c r="K1186">
        <f>IF(AND(I1186&gt;0,J1186&gt;=Assumptions!$B$4),1,0)</f>
        <v/>
      </c>
      <c r="L1186" s="3">
        <f>I1186*K1186</f>
        <v/>
      </c>
      <c r="M1186">
        <f>SUM($K$2:K1186)</f>
        <v/>
      </c>
    </row>
    <row r="1187">
      <c r="A1187" t="inlineStr">
        <is>
          <t>100223</t>
        </is>
      </c>
      <c r="B1187" t="inlineStr">
        <is>
          <t>Hca Florida Fort Walton-Destin Hospital</t>
        </is>
      </c>
      <c r="C1187" t="inlineStr">
        <is>
          <t>FL</t>
        </is>
      </c>
      <c r="D1187" t="inlineStr">
        <is>
          <t>Metropolitan</t>
        </is>
      </c>
      <c r="E1187" s="5" t="n">
        <v>2819</v>
      </c>
      <c r="F1187" s="4" t="n">
        <v>0.5523235189783611</v>
      </c>
      <c r="G1187" s="4" t="n">
        <v>0.5434163867613075</v>
      </c>
      <c r="H1187" s="3" t="n">
        <v>46473876.44207525</v>
      </c>
      <c r="I1187" s="3" t="n">
        <v>-121582.2013304383</v>
      </c>
      <c r="J1187" s="4" t="n">
        <v>-0.0026161407362258</v>
      </c>
      <c r="K1187">
        <f>IF(AND(I1187&gt;0,J1187&gt;=Assumptions!$B$4),1,0)</f>
        <v/>
      </c>
      <c r="L1187" s="3">
        <f>I1187*K1187</f>
        <v/>
      </c>
      <c r="M1187">
        <f>SUM($K$2:K1187)</f>
        <v/>
      </c>
    </row>
    <row r="1188">
      <c r="A1188" t="inlineStr">
        <is>
          <t>370020</t>
        </is>
      </c>
      <c r="B1188" t="inlineStr">
        <is>
          <t>Mercy Hospital Ada</t>
        </is>
      </c>
      <c r="C1188" t="inlineStr">
        <is>
          <t>OK</t>
        </is>
      </c>
      <c r="D1188" t="inlineStr">
        <is>
          <t>Micropolitan</t>
        </is>
      </c>
      <c r="E1188" s="5" t="n">
        <v>834</v>
      </c>
      <c r="F1188" s="4" t="n">
        <v>0.6606714628297362</v>
      </c>
      <c r="G1188" s="4" t="n">
        <v>0.6671455700936547</v>
      </c>
      <c r="H1188" s="3" t="n">
        <v>11919618.87828932</v>
      </c>
      <c r="I1188" s="3" t="n">
        <v>-122039.3166785669</v>
      </c>
      <c r="J1188" s="4" t="n">
        <v>-0.0102385250673452</v>
      </c>
      <c r="K1188">
        <f>IF(AND(I1188&gt;0,J1188&gt;=Assumptions!$B$4),1,0)</f>
        <v/>
      </c>
      <c r="L1188" s="3">
        <f>I1188*K1188</f>
        <v/>
      </c>
      <c r="M1188">
        <f>SUM($K$2:K1188)</f>
        <v/>
      </c>
    </row>
    <row r="1189">
      <c r="A1189" t="inlineStr">
        <is>
          <t>100224</t>
        </is>
      </c>
      <c r="B1189" t="inlineStr">
        <is>
          <t>Hca Florida Woodmont Hospital</t>
        </is>
      </c>
      <c r="C1189" t="inlineStr">
        <is>
          <t>FL</t>
        </is>
      </c>
      <c r="D1189" t="inlineStr">
        <is>
          <t>Metropolitan</t>
        </is>
      </c>
      <c r="E1189" s="5" t="n">
        <v>740</v>
      </c>
      <c r="F1189" s="4" t="n">
        <v>0.6513513513513514</v>
      </c>
      <c r="G1189" s="4" t="n">
        <v>0.6231444101486731</v>
      </c>
      <c r="H1189" s="3" t="n">
        <v>9966680.966427976</v>
      </c>
      <c r="I1189" s="3" t="n">
        <v>-124244.3726565633</v>
      </c>
      <c r="J1189" s="4" t="n">
        <v>-0.0124659726818858</v>
      </c>
      <c r="K1189">
        <f>IF(AND(I1189&gt;0,J1189&gt;=Assumptions!$B$4),1,0)</f>
        <v/>
      </c>
      <c r="L1189" s="3">
        <f>I1189*K1189</f>
        <v/>
      </c>
      <c r="M1189">
        <f>SUM($K$2:K1189)</f>
        <v/>
      </c>
    </row>
    <row r="1190">
      <c r="A1190" t="inlineStr">
        <is>
          <t>050523</t>
        </is>
      </c>
      <c r="B1190" t="inlineStr">
        <is>
          <t>Sutter Delta Medical Center</t>
        </is>
      </c>
      <c r="C1190" t="inlineStr">
        <is>
          <t>CA</t>
        </is>
      </c>
      <c r="D1190" t="inlineStr">
        <is>
          <t>Metropolitan</t>
        </is>
      </c>
      <c r="E1190" s="5" t="n">
        <v>918</v>
      </c>
      <c r="F1190" s="4" t="n">
        <v>0.7723311546840959</v>
      </c>
      <c r="G1190" s="4" t="n">
        <v>0.7292445730749166</v>
      </c>
      <c r="H1190" s="3" t="n">
        <v>13141257.86004738</v>
      </c>
      <c r="I1190" s="3" t="n">
        <v>-125807.0603001676</v>
      </c>
      <c r="J1190" s="4" t="n">
        <v>-0.0095734412671903</v>
      </c>
      <c r="K1190">
        <f>IF(AND(I1190&gt;0,J1190&gt;=Assumptions!$B$4),1,0)</f>
        <v/>
      </c>
      <c r="L1190" s="3">
        <f>I1190*K1190</f>
        <v/>
      </c>
      <c r="M1190">
        <f>SUM($K$2:K1190)</f>
        <v/>
      </c>
    </row>
    <row r="1191">
      <c r="A1191" t="inlineStr">
        <is>
          <t>450064</t>
        </is>
      </c>
      <c r="B1191" t="inlineStr">
        <is>
          <t>Texas Health Arlington Memorial Hospital</t>
        </is>
      </c>
      <c r="C1191" t="inlineStr">
        <is>
          <t>TX</t>
        </is>
      </c>
      <c r="D1191" t="inlineStr">
        <is>
          <t>Metropolitan</t>
        </is>
      </c>
      <c r="E1191" s="5" t="n">
        <v>1243</v>
      </c>
      <c r="F1191" s="4" t="n">
        <v>0.5937248592115849</v>
      </c>
      <c r="G1191" s="4" t="n">
        <v>0.5902081023463831</v>
      </c>
      <c r="H1191" s="3" t="n">
        <v>18258216.04900113</v>
      </c>
      <c r="I1191" s="3" t="n">
        <v>-126095.1694074608</v>
      </c>
      <c r="J1191" s="4" t="n">
        <v>-0.0069062152112259</v>
      </c>
      <c r="K1191">
        <f>IF(AND(I1191&gt;0,J1191&gt;=Assumptions!$B$4),1,0)</f>
        <v/>
      </c>
      <c r="L1191" s="3">
        <f>I1191*K1191</f>
        <v/>
      </c>
      <c r="M1191">
        <f>SUM($K$2:K1191)</f>
        <v/>
      </c>
    </row>
    <row r="1192">
      <c r="A1192" t="inlineStr">
        <is>
          <t>050102</t>
        </is>
      </c>
      <c r="B1192" t="inlineStr">
        <is>
          <t>Doctors Hospital Of Riverside, Llc</t>
        </is>
      </c>
      <c r="C1192" t="inlineStr">
        <is>
          <t>CA</t>
        </is>
      </c>
      <c r="D1192" t="inlineStr">
        <is>
          <t>Metropolitan</t>
        </is>
      </c>
      <c r="E1192" s="5" t="n">
        <v>410</v>
      </c>
      <c r="F1192" s="4" t="n">
        <v>0.7902439024390244</v>
      </c>
      <c r="G1192" s="4" t="n">
        <v>0.7414334466587114</v>
      </c>
      <c r="H1192" s="3" t="n">
        <v>5403707.831951329</v>
      </c>
      <c r="I1192" s="3" t="n">
        <v>-126385.1586986929</v>
      </c>
      <c r="J1192" s="4" t="n">
        <v>-0.0233885995744248</v>
      </c>
      <c r="K1192">
        <f>IF(AND(I1192&gt;0,J1192&gt;=Assumptions!$B$4),1,0)</f>
        <v/>
      </c>
      <c r="L1192" s="3">
        <f>I1192*K1192</f>
        <v/>
      </c>
      <c r="M1192">
        <f>SUM($K$2:K1192)</f>
        <v/>
      </c>
    </row>
    <row r="1193">
      <c r="A1193" t="inlineStr">
        <is>
          <t>110087</t>
        </is>
      </c>
      <c r="B1193" t="inlineStr">
        <is>
          <t>Northside Hospital Gwinnett</t>
        </is>
      </c>
      <c r="C1193" t="inlineStr">
        <is>
          <t>GA</t>
        </is>
      </c>
      <c r="D1193" t="inlineStr">
        <is>
          <t>Metropolitan</t>
        </is>
      </c>
      <c r="E1193" s="5" t="n">
        <v>3401</v>
      </c>
      <c r="F1193" s="4" t="n">
        <v>0.5363128491620112</v>
      </c>
      <c r="G1193" s="4" t="n">
        <v>0.5085438554231877</v>
      </c>
      <c r="H1193" s="3" t="n">
        <v>66734321.5507247</v>
      </c>
      <c r="I1193" s="3" t="n">
        <v>-127100.6091123149</v>
      </c>
      <c r="J1193" s="4" t="n">
        <v>-0.0019045763283246</v>
      </c>
      <c r="K1193">
        <f>IF(AND(I1193&gt;0,J1193&gt;=Assumptions!$B$4),1,0)</f>
        <v/>
      </c>
      <c r="L1193" s="3">
        <f>I1193*K1193</f>
        <v/>
      </c>
      <c r="M1193">
        <f>SUM($K$2:K1193)</f>
        <v/>
      </c>
    </row>
    <row r="1194">
      <c r="A1194" t="inlineStr">
        <is>
          <t>500139</t>
        </is>
      </c>
      <c r="B1194" t="inlineStr">
        <is>
          <t>Multicare Capital Medical Center</t>
        </is>
      </c>
      <c r="C1194" t="inlineStr">
        <is>
          <t>WA</t>
        </is>
      </c>
      <c r="D1194" t="inlineStr">
        <is>
          <t>Metropolitan</t>
        </is>
      </c>
      <c r="E1194" s="5" t="n">
        <v>615</v>
      </c>
      <c r="F1194" s="4" t="n">
        <v>0.6276422764227643</v>
      </c>
      <c r="G1194" s="4" t="n">
        <v>0.5959094314640836</v>
      </c>
      <c r="H1194" s="3" t="n">
        <v>10618335.85059071</v>
      </c>
      <c r="I1194" s="3" t="n">
        <v>-128399.9532363545</v>
      </c>
      <c r="J1194" s="4" t="n">
        <v>-0.012092285932848</v>
      </c>
      <c r="K1194">
        <f>IF(AND(I1194&gt;0,J1194&gt;=Assumptions!$B$4),1,0)</f>
        <v/>
      </c>
      <c r="L1194" s="3">
        <f>I1194*K1194</f>
        <v/>
      </c>
      <c r="M1194">
        <f>SUM($K$2:K1194)</f>
        <v/>
      </c>
    </row>
    <row r="1195">
      <c r="A1195" t="inlineStr">
        <is>
          <t>330386</t>
        </is>
      </c>
      <c r="B1195" t="inlineStr">
        <is>
          <t>Garnet Health  Medical Center Catskills</t>
        </is>
      </c>
      <c r="C1195" t="inlineStr">
        <is>
          <t>NY</t>
        </is>
      </c>
      <c r="D1195" t="inlineStr">
        <is>
          <t>Small town</t>
        </is>
      </c>
      <c r="E1195" s="5" t="n">
        <v>467</v>
      </c>
      <c r="F1195" s="4" t="n">
        <v>0.7987152034261242</v>
      </c>
      <c r="G1195" s="4" t="n">
        <v>0.7604823435606737</v>
      </c>
      <c r="H1195" s="3" t="n">
        <v>6977755.009374763</v>
      </c>
      <c r="I1195" s="3" t="n">
        <v>-129937.7232172368</v>
      </c>
      <c r="J1195" s="4" t="n">
        <v>-0.0186217089941768</v>
      </c>
      <c r="K1195">
        <f>IF(AND(I1195&gt;0,J1195&gt;=Assumptions!$B$4),1,0)</f>
        <v/>
      </c>
      <c r="L1195" s="3">
        <f>I1195*K1195</f>
        <v/>
      </c>
      <c r="M1195">
        <f>SUM($K$2:K1195)</f>
        <v/>
      </c>
    </row>
    <row r="1196">
      <c r="A1196" t="inlineStr">
        <is>
          <t>440150</t>
        </is>
      </c>
      <c r="B1196" t="inlineStr">
        <is>
          <t>Tristar Summit Medical Center</t>
        </is>
      </c>
      <c r="C1196" t="inlineStr">
        <is>
          <t>TN</t>
        </is>
      </c>
      <c r="D1196" t="inlineStr">
        <is>
          <t>Metropolitan</t>
        </is>
      </c>
      <c r="E1196" s="5" t="n">
        <v>1351</v>
      </c>
      <c r="F1196" s="4" t="n">
        <v>0.615099925980755</v>
      </c>
      <c r="G1196" s="4" t="n">
        <v>0.6169267126474202</v>
      </c>
      <c r="H1196" s="3" t="n">
        <v>19710340.86685969</v>
      </c>
      <c r="I1196" s="3" t="n">
        <v>-131529.8382360786</v>
      </c>
      <c r="J1196" s="4" t="n">
        <v>-0.0066731386902206</v>
      </c>
      <c r="K1196">
        <f>IF(AND(I1196&gt;0,J1196&gt;=Assumptions!$B$4),1,0)</f>
        <v/>
      </c>
      <c r="L1196" s="3">
        <f>I1196*K1196</f>
        <v/>
      </c>
      <c r="M1196">
        <f>SUM($K$2:K1196)</f>
        <v/>
      </c>
    </row>
    <row r="1197">
      <c r="A1197" t="inlineStr">
        <is>
          <t>340184</t>
        </is>
      </c>
      <c r="B1197" t="inlineStr">
        <is>
          <t>Haywood Regional Medical Center</t>
        </is>
      </c>
      <c r="C1197" t="inlineStr">
        <is>
          <t>NC</t>
        </is>
      </c>
      <c r="D1197" t="inlineStr">
        <is>
          <t>Metropolitan</t>
        </is>
      </c>
      <c r="E1197" s="5" t="n">
        <v>826</v>
      </c>
      <c r="F1197" s="4" t="n">
        <v>0.6719128329297821</v>
      </c>
      <c r="G1197" s="4" t="n">
        <v>0.6363724451472612</v>
      </c>
      <c r="H1197" s="3" t="n">
        <v>11868157.40826355</v>
      </c>
      <c r="I1197" s="3" t="n">
        <v>-131965.5240525566</v>
      </c>
      <c r="J1197" s="4" t="n">
        <v>-0.0111192933757915</v>
      </c>
      <c r="K1197">
        <f>IF(AND(I1197&gt;0,J1197&gt;=Assumptions!$B$4),1,0)</f>
        <v/>
      </c>
      <c r="L1197" s="3">
        <f>I1197*K1197</f>
        <v/>
      </c>
      <c r="M1197">
        <f>SUM($K$2:K1197)</f>
        <v/>
      </c>
    </row>
    <row r="1198">
      <c r="A1198" t="inlineStr">
        <is>
          <t>430027</t>
        </is>
      </c>
      <c r="B1198" t="inlineStr">
        <is>
          <t>Sanford Usd Medical Center</t>
        </is>
      </c>
      <c r="C1198" t="inlineStr">
        <is>
          <t>SD</t>
        </is>
      </c>
      <c r="D1198" t="inlineStr">
        <is>
          <t>Unclassified</t>
        </is>
      </c>
      <c r="E1198" s="5" t="n">
        <v>4835</v>
      </c>
      <c r="F1198" s="4" t="n">
        <v>0.493071354705274</v>
      </c>
      <c r="G1198" s="4" t="n">
        <v>0.5149858227718281</v>
      </c>
      <c r="H1198" s="3" t="n">
        <v>87212021.39687668</v>
      </c>
      <c r="I1198" s="3" t="n">
        <v>-132883.797136113</v>
      </c>
      <c r="J1198" s="4" t="n">
        <v>-0.0015236867006143</v>
      </c>
      <c r="K1198">
        <f>IF(AND(I1198&gt;0,J1198&gt;=Assumptions!$B$4),1,0)</f>
        <v/>
      </c>
      <c r="L1198" s="3">
        <f>I1198*K1198</f>
        <v/>
      </c>
      <c r="M1198">
        <f>SUM($K$2:K1198)</f>
        <v/>
      </c>
    </row>
    <row r="1199">
      <c r="A1199" t="inlineStr">
        <is>
          <t>340027</t>
        </is>
      </c>
      <c r="B1199" t="inlineStr">
        <is>
          <t>Unc Lenoir Health Care</t>
        </is>
      </c>
      <c r="C1199" t="inlineStr">
        <is>
          <t>NC</t>
        </is>
      </c>
      <c r="D1199" t="inlineStr">
        <is>
          <t>Micropolitan</t>
        </is>
      </c>
      <c r="E1199" s="5" t="n">
        <v>851</v>
      </c>
      <c r="F1199" s="4" t="n">
        <v>0.7391304347826086</v>
      </c>
      <c r="G1199" s="4" t="n">
        <v>0.7131540481265277</v>
      </c>
      <c r="H1199" s="3" t="n">
        <v>11352231.25988987</v>
      </c>
      <c r="I1199" s="3" t="n">
        <v>-133864.5186619516</v>
      </c>
      <c r="J1199" s="4" t="n">
        <v>-0.0117919125850551</v>
      </c>
      <c r="K1199">
        <f>IF(AND(I1199&gt;0,J1199&gt;=Assumptions!$B$4),1,0)</f>
        <v/>
      </c>
      <c r="L1199" s="3">
        <f>I1199*K1199</f>
        <v/>
      </c>
      <c r="M1199">
        <f>SUM($K$2:K1199)</f>
        <v/>
      </c>
    </row>
    <row r="1200">
      <c r="A1200" t="inlineStr">
        <is>
          <t>150005</t>
        </is>
      </c>
      <c r="B1200" t="inlineStr">
        <is>
          <t>Hendricks Regional Health</t>
        </is>
      </c>
      <c r="C1200" t="inlineStr">
        <is>
          <t>IN</t>
        </is>
      </c>
      <c r="D1200" t="inlineStr">
        <is>
          <t>Metropolitan</t>
        </is>
      </c>
      <c r="E1200" s="5" t="n">
        <v>928</v>
      </c>
      <c r="F1200" s="4" t="n">
        <v>0.6594827586206896</v>
      </c>
      <c r="G1200" s="4" t="n">
        <v>0.6392114047933218</v>
      </c>
      <c r="H1200" s="3" t="n">
        <v>12856397.52882112</v>
      </c>
      <c r="I1200" s="3" t="n">
        <v>-134213.4423001632</v>
      </c>
      <c r="J1200" s="4" t="n">
        <v>-0.0104394284634779</v>
      </c>
      <c r="K1200">
        <f>IF(AND(I1200&gt;0,J1200&gt;=Assumptions!$B$4),1,0)</f>
        <v/>
      </c>
      <c r="L1200" s="3">
        <f>I1200*K1200</f>
        <v/>
      </c>
      <c r="M1200">
        <f>SUM($K$2:K1200)</f>
        <v/>
      </c>
    </row>
    <row r="1201">
      <c r="A1201" t="inlineStr">
        <is>
          <t>100034</t>
        </is>
      </c>
      <c r="B1201" t="inlineStr">
        <is>
          <t>Mount Sinai Medical Center Of Florida, Inc</t>
        </is>
      </c>
      <c r="C1201" t="inlineStr">
        <is>
          <t>FL</t>
        </is>
      </c>
      <c r="D1201" t="inlineStr">
        <is>
          <t>Metropolitan</t>
        </is>
      </c>
      <c r="E1201" s="5" t="n">
        <v>2802</v>
      </c>
      <c r="F1201" s="4" t="n">
        <v>0.5192719486081371</v>
      </c>
      <c r="G1201" s="4" t="n">
        <v>0.5380987358389723</v>
      </c>
      <c r="H1201" s="3" t="n">
        <v>45366073.89096267</v>
      </c>
      <c r="I1201" s="3" t="n">
        <v>-134648.8734541535</v>
      </c>
      <c r="J1201" s="4" t="n">
        <v>-0.0029680521567235</v>
      </c>
      <c r="K1201">
        <f>IF(AND(I1201&gt;0,J1201&gt;=Assumptions!$B$4),1,0)</f>
        <v/>
      </c>
      <c r="L1201" s="3">
        <f>I1201*K1201</f>
        <v/>
      </c>
      <c r="M1201">
        <f>SUM($K$2:K1201)</f>
        <v/>
      </c>
    </row>
    <row r="1202">
      <c r="A1202" t="inlineStr">
        <is>
          <t>520037</t>
        </is>
      </c>
      <c r="B1202" t="inlineStr">
        <is>
          <t>Marshfield Medical Center</t>
        </is>
      </c>
      <c r="C1202" t="inlineStr">
        <is>
          <t>WI</t>
        </is>
      </c>
      <c r="D1202" t="inlineStr">
        <is>
          <t>Micropolitan</t>
        </is>
      </c>
      <c r="E1202" s="5" t="n">
        <v>1316</v>
      </c>
      <c r="F1202" s="4" t="n">
        <v>0.5516717325227963</v>
      </c>
      <c r="G1202" s="4" t="n">
        <v>0.5764655153970993</v>
      </c>
      <c r="H1202" s="3" t="n">
        <v>24272412.20423824</v>
      </c>
      <c r="I1202" s="3" t="n">
        <v>-134813.996847894</v>
      </c>
      <c r="J1202" s="4" t="n">
        <v>-0.0055542067971453</v>
      </c>
      <c r="K1202">
        <f>IF(AND(I1202&gt;0,J1202&gt;=Assumptions!$B$4),1,0)</f>
        <v/>
      </c>
      <c r="L1202" s="3">
        <f>I1202*K1202</f>
        <v/>
      </c>
      <c r="M1202">
        <f>SUM($K$2:K1202)</f>
        <v/>
      </c>
    </row>
    <row r="1203">
      <c r="A1203" t="inlineStr">
        <is>
          <t>050763</t>
        </is>
      </c>
      <c r="B1203" t="inlineStr">
        <is>
          <t>L A Downtown Medical Center</t>
        </is>
      </c>
      <c r="C1203" t="inlineStr">
        <is>
          <t>CA</t>
        </is>
      </c>
      <c r="D1203" t="inlineStr">
        <is>
          <t>Metropolitan</t>
        </is>
      </c>
      <c r="E1203" s="5" t="n">
        <v>566</v>
      </c>
      <c r="F1203" s="4" t="n">
        <v>0.5936395759717314</v>
      </c>
      <c r="G1203" s="4" t="n">
        <v>0.514869916481859</v>
      </c>
      <c r="H1203" s="3" t="n">
        <v>6672774.348646404</v>
      </c>
      <c r="I1203" s="3" t="n">
        <v>-135138.2720525581</v>
      </c>
      <c r="J1203" s="4" t="n">
        <v>-0.0202521867205012</v>
      </c>
      <c r="K1203">
        <f>IF(AND(I1203&gt;0,J1203&gt;=Assumptions!$B$4),1,0)</f>
        <v/>
      </c>
      <c r="L1203" s="3">
        <f>I1203*K1203</f>
        <v/>
      </c>
      <c r="M1203">
        <f>SUM($K$2:K1203)</f>
        <v/>
      </c>
    </row>
    <row r="1204">
      <c r="A1204" t="inlineStr">
        <is>
          <t>360002</t>
        </is>
      </c>
      <c r="B1204" t="inlineStr">
        <is>
          <t>University Hospitals Samaritan Medical Center</t>
        </is>
      </c>
      <c r="C1204" t="inlineStr">
        <is>
          <t>OH</t>
        </is>
      </c>
      <c r="D1204" t="inlineStr">
        <is>
          <t>Micropolitan</t>
        </is>
      </c>
      <c r="E1204" s="5" t="n">
        <v>314</v>
      </c>
      <c r="F1204" s="4" t="n">
        <v>0.7802547770700637</v>
      </c>
      <c r="G1204" s="4" t="n">
        <v>0.697564019135763</v>
      </c>
      <c r="H1204" s="3" t="n">
        <v>3665183.42241827</v>
      </c>
      <c r="I1204" s="3" t="n">
        <v>-136702.1537386477</v>
      </c>
      <c r="J1204" s="4" t="n">
        <v>-0.0372974931902459</v>
      </c>
      <c r="K1204">
        <f>IF(AND(I1204&gt;0,J1204&gt;=Assumptions!$B$4),1,0)</f>
        <v/>
      </c>
      <c r="L1204" s="3">
        <f>I1204*K1204</f>
        <v/>
      </c>
      <c r="M1204">
        <f>SUM($K$2:K1204)</f>
        <v/>
      </c>
    </row>
    <row r="1205">
      <c r="A1205" t="inlineStr">
        <is>
          <t>180029</t>
        </is>
      </c>
      <c r="B1205" t="inlineStr">
        <is>
          <t>Hazard Arh Regional Medical Center</t>
        </is>
      </c>
      <c r="C1205" t="inlineStr">
        <is>
          <t>KY</t>
        </is>
      </c>
      <c r="D1205" t="inlineStr">
        <is>
          <t>Small town</t>
        </is>
      </c>
      <c r="E1205" s="5" t="n">
        <v>449</v>
      </c>
      <c r="F1205" s="4" t="n">
        <v>0.8017817371937639</v>
      </c>
      <c r="G1205" s="4" t="n">
        <v>0.7471386865194615</v>
      </c>
      <c r="H1205" s="3" t="n">
        <v>6588322.298266437</v>
      </c>
      <c r="I1205" s="3" t="n">
        <v>-137940.6429486293</v>
      </c>
      <c r="J1205" s="4" t="n">
        <v>-0.0209371425233591</v>
      </c>
      <c r="K1205">
        <f>IF(AND(I1205&gt;0,J1205&gt;=Assumptions!$B$4),1,0)</f>
        <v/>
      </c>
      <c r="L1205" s="3">
        <f>I1205*K1205</f>
        <v/>
      </c>
      <c r="M1205">
        <f>SUM($K$2:K1205)</f>
        <v/>
      </c>
    </row>
    <row r="1206">
      <c r="A1206" t="inlineStr">
        <is>
          <t>390026</t>
        </is>
      </c>
      <c r="B1206" t="inlineStr">
        <is>
          <t>Temple Health - Chestnut Hill Hospital</t>
        </is>
      </c>
      <c r="C1206" t="inlineStr">
        <is>
          <t>PA</t>
        </is>
      </c>
      <c r="D1206" t="inlineStr">
        <is>
          <t>Metropolitan</t>
        </is>
      </c>
      <c r="E1206" s="5" t="n">
        <v>1273</v>
      </c>
      <c r="F1206" s="4" t="n">
        <v>0.6598586017282011</v>
      </c>
      <c r="G1206" s="4" t="n">
        <v>0.6552118068480171</v>
      </c>
      <c r="H1206" s="3" t="n">
        <v>16943025.98952155</v>
      </c>
      <c r="I1206" s="3" t="n">
        <v>-138897.6268420704</v>
      </c>
      <c r="J1206" s="4" t="n">
        <v>-0.008197923259279099</v>
      </c>
      <c r="K1206">
        <f>IF(AND(I1206&gt;0,J1206&gt;=Assumptions!$B$4),1,0)</f>
        <v/>
      </c>
      <c r="L1206" s="3">
        <f>I1206*K1206</f>
        <v/>
      </c>
      <c r="M1206">
        <f>SUM($K$2:K1206)</f>
        <v/>
      </c>
    </row>
    <row r="1207">
      <c r="A1207" t="inlineStr">
        <is>
          <t>030121</t>
        </is>
      </c>
      <c r="B1207" t="inlineStr">
        <is>
          <t>Mountain Vista Medical Center, Lp</t>
        </is>
      </c>
      <c r="C1207" t="inlineStr">
        <is>
          <t>AZ</t>
        </is>
      </c>
      <c r="D1207" t="inlineStr">
        <is>
          <t>Metropolitan</t>
        </is>
      </c>
      <c r="E1207" s="5" t="n">
        <v>507</v>
      </c>
      <c r="F1207" s="4" t="n">
        <v>0.6232741617357002</v>
      </c>
      <c r="G1207" s="4" t="n">
        <v>0.5639063317396862</v>
      </c>
      <c r="H1207" s="3" t="n">
        <v>8179896.940670355</v>
      </c>
      <c r="I1207" s="3" t="n">
        <v>-139251.4227530053</v>
      </c>
      <c r="J1207" s="4" t="n">
        <v>-0.0170236157940632</v>
      </c>
      <c r="K1207">
        <f>IF(AND(I1207&gt;0,J1207&gt;=Assumptions!$B$4),1,0)</f>
        <v/>
      </c>
      <c r="L1207" s="3">
        <f>I1207*K1207</f>
        <v/>
      </c>
      <c r="M1207">
        <f>SUM($K$2:K1207)</f>
        <v/>
      </c>
    </row>
    <row r="1208">
      <c r="A1208" t="inlineStr">
        <is>
          <t>510029</t>
        </is>
      </c>
      <c r="B1208" t="inlineStr">
        <is>
          <t>Thomas Memorial Hospital</t>
        </is>
      </c>
      <c r="C1208" t="inlineStr">
        <is>
          <t>WV</t>
        </is>
      </c>
      <c r="D1208" t="inlineStr">
        <is>
          <t>Metropolitan</t>
        </is>
      </c>
      <c r="E1208" s="5" t="n">
        <v>1148</v>
      </c>
      <c r="F1208" s="4" t="n">
        <v>0.5662020905923345</v>
      </c>
      <c r="G1208" s="4" t="n">
        <v>0.5742694752712066</v>
      </c>
      <c r="H1208" s="3" t="n">
        <v>15648428.77275411</v>
      </c>
      <c r="I1208" s="3" t="n">
        <v>-139876.8418943901</v>
      </c>
      <c r="J1208" s="4" t="n">
        <v>-0.008938714801701501</v>
      </c>
      <c r="K1208">
        <f>IF(AND(I1208&gt;0,J1208&gt;=Assumptions!$B$4),1,0)</f>
        <v/>
      </c>
      <c r="L1208" s="3">
        <f>I1208*K1208</f>
        <v/>
      </c>
      <c r="M1208">
        <f>SUM($K$2:K1208)</f>
        <v/>
      </c>
    </row>
    <row r="1209">
      <c r="A1209" t="inlineStr">
        <is>
          <t>500019</t>
        </is>
      </c>
      <c r="B1209" t="inlineStr">
        <is>
          <t>Providence Centralia Hospital</t>
        </is>
      </c>
      <c r="C1209" t="inlineStr">
        <is>
          <t>WA</t>
        </is>
      </c>
      <c r="D1209" t="inlineStr">
        <is>
          <t>Micropolitan</t>
        </is>
      </c>
      <c r="E1209" s="5" t="n">
        <v>660</v>
      </c>
      <c r="F1209" s="4" t="n">
        <v>0.7166666666666667</v>
      </c>
      <c r="G1209" s="4" t="n">
        <v>0.7052802903227825</v>
      </c>
      <c r="H1209" s="3" t="n">
        <v>9634757.31091976</v>
      </c>
      <c r="I1209" s="3" t="n">
        <v>-141005.1184420455</v>
      </c>
      <c r="J1209" s="4" t="n">
        <v>-0.0146350462073636</v>
      </c>
      <c r="K1209">
        <f>IF(AND(I1209&gt;0,J1209&gt;=Assumptions!$B$4),1,0)</f>
        <v/>
      </c>
      <c r="L1209" s="3">
        <f>I1209*K1209</f>
        <v/>
      </c>
      <c r="M1209">
        <f>SUM($K$2:K1209)</f>
        <v/>
      </c>
    </row>
    <row r="1210">
      <c r="A1210" t="inlineStr">
        <is>
          <t>280023</t>
        </is>
      </c>
      <c r="B1210" t="inlineStr">
        <is>
          <t>Chi Health St Francis</t>
        </is>
      </c>
      <c r="C1210" t="inlineStr">
        <is>
          <t>NE</t>
        </is>
      </c>
      <c r="D1210" t="inlineStr">
        <is>
          <t>Metropolitan</t>
        </is>
      </c>
      <c r="E1210" s="5" t="n">
        <v>607</v>
      </c>
      <c r="F1210" s="4" t="n">
        <v>0.7364085667215815</v>
      </c>
      <c r="G1210" s="4" t="n">
        <v>0.7223536872856857</v>
      </c>
      <c r="H1210" s="3" t="n">
        <v>9076868.711166011</v>
      </c>
      <c r="I1210" s="3" t="n">
        <v>-141015.9755117707</v>
      </c>
      <c r="J1210" s="4" t="n">
        <v>-0.0155357513696654</v>
      </c>
      <c r="K1210">
        <f>IF(AND(I1210&gt;0,J1210&gt;=Assumptions!$B$4),1,0)</f>
        <v/>
      </c>
      <c r="L1210" s="3">
        <f>I1210*K1210</f>
        <v/>
      </c>
      <c r="M1210">
        <f>SUM($K$2:K1210)</f>
        <v/>
      </c>
    </row>
    <row r="1211">
      <c r="A1211" t="inlineStr">
        <is>
          <t>050557</t>
        </is>
      </c>
      <c r="B1211" t="inlineStr">
        <is>
          <t>Memorial Medical Center</t>
        </is>
      </c>
      <c r="C1211" t="inlineStr">
        <is>
          <t>CA</t>
        </is>
      </c>
      <c r="D1211" t="inlineStr">
        <is>
          <t>Metropolitan</t>
        </is>
      </c>
      <c r="E1211" s="5" t="n">
        <v>3853</v>
      </c>
      <c r="F1211" s="4" t="n">
        <v>0.5958992992473398</v>
      </c>
      <c r="G1211" s="4" t="n">
        <v>0.5818366416352723</v>
      </c>
      <c r="H1211" s="3" t="n">
        <v>63916259.02208488</v>
      </c>
      <c r="I1211" s="3" t="n">
        <v>-141846.6727873459</v>
      </c>
      <c r="J1211" s="4" t="n">
        <v>-0.0022192580566759</v>
      </c>
      <c r="K1211">
        <f>IF(AND(I1211&gt;0,J1211&gt;=Assumptions!$B$4),1,0)</f>
        <v/>
      </c>
      <c r="L1211" s="3">
        <f>I1211*K1211</f>
        <v/>
      </c>
      <c r="M1211">
        <f>SUM($K$2:K1211)</f>
        <v/>
      </c>
    </row>
    <row r="1212">
      <c r="A1212" t="inlineStr">
        <is>
          <t>050013</t>
        </is>
      </c>
      <c r="B1212" t="inlineStr">
        <is>
          <t>Adventist Health St Helena</t>
        </is>
      </c>
      <c r="C1212" t="inlineStr">
        <is>
          <t>CA</t>
        </is>
      </c>
      <c r="D1212" t="inlineStr">
        <is>
          <t>Small town</t>
        </is>
      </c>
      <c r="E1212" s="5" t="n">
        <v>711</v>
      </c>
      <c r="F1212" s="4" t="n">
        <v>0.5808720112517581</v>
      </c>
      <c r="G1212" s="4" t="n">
        <v>0.5443350093530724</v>
      </c>
      <c r="H1212" s="3" t="n">
        <v>17021897.15665274</v>
      </c>
      <c r="I1212" s="3" t="n">
        <v>-141978.7775499485</v>
      </c>
      <c r="J1212" s="4" t="n">
        <v>-0.0083409490871267</v>
      </c>
      <c r="K1212">
        <f>IF(AND(I1212&gt;0,J1212&gt;=Assumptions!$B$4),1,0)</f>
        <v/>
      </c>
      <c r="L1212" s="3">
        <f>I1212*K1212</f>
        <v/>
      </c>
      <c r="M1212">
        <f>SUM($K$2:K1212)</f>
        <v/>
      </c>
    </row>
    <row r="1213">
      <c r="A1213" t="inlineStr">
        <is>
          <t>050737</t>
        </is>
      </c>
      <c r="B1213" t="inlineStr">
        <is>
          <t>Garfield Medical Center</t>
        </is>
      </c>
      <c r="C1213" t="inlineStr">
        <is>
          <t>CA</t>
        </is>
      </c>
      <c r="D1213" t="inlineStr">
        <is>
          <t>Metropolitan</t>
        </is>
      </c>
      <c r="E1213" s="5" t="n">
        <v>767</v>
      </c>
      <c r="F1213" s="4" t="n">
        <v>0.7222946544980443</v>
      </c>
      <c r="G1213" s="4" t="n">
        <v>0.7082283627947424</v>
      </c>
      <c r="H1213" s="3" t="n">
        <v>10955022.1782222</v>
      </c>
      <c r="I1213" s="3" t="n">
        <v>-142134.8916090652</v>
      </c>
      <c r="J1213" s="4" t="n">
        <v>-0.0129744047338963</v>
      </c>
      <c r="K1213">
        <f>IF(AND(I1213&gt;0,J1213&gt;=Assumptions!$B$4),1,0)</f>
        <v/>
      </c>
      <c r="L1213" s="3">
        <f>I1213*K1213</f>
        <v/>
      </c>
      <c r="M1213">
        <f>SUM($K$2:K1213)</f>
        <v/>
      </c>
    </row>
    <row r="1214">
      <c r="A1214" t="inlineStr">
        <is>
          <t>150009</t>
        </is>
      </c>
      <c r="B1214" t="inlineStr">
        <is>
          <t>Norton Clark Hospital, Llc</t>
        </is>
      </c>
      <c r="C1214" t="inlineStr">
        <is>
          <t>IN</t>
        </is>
      </c>
      <c r="D1214" t="inlineStr">
        <is>
          <t>Metropolitan</t>
        </is>
      </c>
      <c r="E1214" s="5" t="n">
        <v>1008</v>
      </c>
      <c r="F1214" s="4" t="n">
        <v>0.6468253968253969</v>
      </c>
      <c r="G1214" s="4" t="n">
        <v>0.6210939493308714</v>
      </c>
      <c r="H1214" s="3" t="n">
        <v>13344182.80113075</v>
      </c>
      <c r="I1214" s="3" t="n">
        <v>-142663.885382494</v>
      </c>
      <c r="J1214" s="4" t="n">
        <v>-0.0106910919543462</v>
      </c>
      <c r="K1214">
        <f>IF(AND(I1214&gt;0,J1214&gt;=Assumptions!$B$4),1,0)</f>
        <v/>
      </c>
      <c r="L1214" s="3">
        <f>I1214*K1214</f>
        <v/>
      </c>
      <c r="M1214">
        <f>SUM($K$2:K1214)</f>
        <v/>
      </c>
    </row>
    <row r="1215">
      <c r="A1215" t="inlineStr">
        <is>
          <t>050126</t>
        </is>
      </c>
      <c r="B1215" t="inlineStr">
        <is>
          <t>Valley Presbyterian Hospital</t>
        </is>
      </c>
      <c r="C1215" t="inlineStr">
        <is>
          <t>CA</t>
        </is>
      </c>
      <c r="D1215" t="inlineStr">
        <is>
          <t>Metropolitan</t>
        </is>
      </c>
      <c r="E1215" s="5" t="n">
        <v>971</v>
      </c>
      <c r="F1215" s="4" t="n">
        <v>0.717816683831102</v>
      </c>
      <c r="G1215" s="4" t="n">
        <v>0.6888589365018638</v>
      </c>
      <c r="H1215" s="3" t="n">
        <v>14123351.99129851</v>
      </c>
      <c r="I1215" s="3" t="n">
        <v>-144346.0570172798</v>
      </c>
      <c r="J1215" s="4" t="n">
        <v>-0.0102203823218604</v>
      </c>
      <c r="K1215">
        <f>IF(AND(I1215&gt;0,J1215&gt;=Assumptions!$B$4),1,0)</f>
        <v/>
      </c>
      <c r="L1215" s="3">
        <f>I1215*K1215</f>
        <v/>
      </c>
      <c r="M1215">
        <f>SUM($K$2:K1215)</f>
        <v/>
      </c>
    </row>
    <row r="1216">
      <c r="A1216" t="inlineStr">
        <is>
          <t>330009</t>
        </is>
      </c>
      <c r="B1216" t="inlineStr">
        <is>
          <t>Bronxcare Hospital Center</t>
        </is>
      </c>
      <c r="C1216" t="inlineStr">
        <is>
          <t>NY</t>
        </is>
      </c>
      <c r="D1216" t="inlineStr">
        <is>
          <t>Metropolitan</t>
        </is>
      </c>
      <c r="E1216" s="5" t="n">
        <v>609</v>
      </c>
      <c r="F1216" s="4" t="n">
        <v>0.7126436781609196</v>
      </c>
      <c r="G1216" s="4" t="n">
        <v>0.6711912559196263</v>
      </c>
      <c r="H1216" s="3" t="n">
        <v>9166891.724193104</v>
      </c>
      <c r="I1216" s="3" t="n">
        <v>-145761.6136229616</v>
      </c>
      <c r="J1216" s="4" t="n">
        <v>-0.0159008765466564</v>
      </c>
      <c r="K1216">
        <f>IF(AND(I1216&gt;0,J1216&gt;=Assumptions!$B$4),1,0)</f>
        <v/>
      </c>
      <c r="L1216" s="3">
        <f>I1216*K1216</f>
        <v/>
      </c>
      <c r="M1216">
        <f>SUM($K$2:K1216)</f>
        <v/>
      </c>
    </row>
    <row r="1217">
      <c r="A1217" t="inlineStr">
        <is>
          <t>510006</t>
        </is>
      </c>
      <c r="B1217" t="inlineStr">
        <is>
          <t>United Hospital Center, Inc</t>
        </is>
      </c>
      <c r="C1217" t="inlineStr">
        <is>
          <t>WV</t>
        </is>
      </c>
      <c r="D1217" t="inlineStr">
        <is>
          <t>Micropolitan</t>
        </is>
      </c>
      <c r="E1217" s="5" t="n">
        <v>2328</v>
      </c>
      <c r="F1217" s="4" t="n">
        <v>0.5210481099656358</v>
      </c>
      <c r="G1217" s="4" t="n">
        <v>0.5527780464321828</v>
      </c>
      <c r="H1217" s="3" t="n">
        <v>33913303.45802534</v>
      </c>
      <c r="I1217" s="3" t="n">
        <v>-146642.6553927958</v>
      </c>
      <c r="J1217" s="4" t="n">
        <v>-0.0043240451516112</v>
      </c>
      <c r="K1217">
        <f>IF(AND(I1217&gt;0,J1217&gt;=Assumptions!$B$4),1,0)</f>
        <v/>
      </c>
      <c r="L1217" s="3">
        <f>I1217*K1217</f>
        <v/>
      </c>
      <c r="M1217">
        <f>SUM($K$2:K1217)</f>
        <v/>
      </c>
    </row>
    <row r="1218">
      <c r="A1218" t="inlineStr">
        <is>
          <t>230089</t>
        </is>
      </c>
      <c r="B1218" t="inlineStr">
        <is>
          <t>Beaumont Hospital, Grosse Pointe</t>
        </is>
      </c>
      <c r="C1218" t="inlineStr">
        <is>
          <t>MI</t>
        </is>
      </c>
      <c r="D1218" t="inlineStr">
        <is>
          <t>Metropolitan</t>
        </is>
      </c>
      <c r="E1218" s="5" t="n">
        <v>1448</v>
      </c>
      <c r="F1218" s="4" t="n">
        <v>0.6284530386740331</v>
      </c>
      <c r="G1218" s="4" t="n">
        <v>0.625196249269907</v>
      </c>
      <c r="H1218" s="3" t="n">
        <v>18908440.5833554</v>
      </c>
      <c r="I1218" s="3" t="n">
        <v>-146793.9228413627</v>
      </c>
      <c r="J1218" s="4" t="n">
        <v>-0.0077634071511207</v>
      </c>
      <c r="K1218">
        <f>IF(AND(I1218&gt;0,J1218&gt;=Assumptions!$B$4),1,0)</f>
        <v/>
      </c>
      <c r="L1218" s="3">
        <f>I1218*K1218</f>
        <v/>
      </c>
      <c r="M1218">
        <f>SUM($K$2:K1218)</f>
        <v/>
      </c>
    </row>
    <row r="1219">
      <c r="A1219" t="inlineStr">
        <is>
          <t>490053</t>
        </is>
      </c>
      <c r="B1219" t="inlineStr">
        <is>
          <t>Johnston Memorial Hospital</t>
        </is>
      </c>
      <c r="C1219" t="inlineStr">
        <is>
          <t>VA</t>
        </is>
      </c>
      <c r="D1219" t="inlineStr">
        <is>
          <t>Metropolitan</t>
        </is>
      </c>
      <c r="E1219" s="5" t="n">
        <v>976</v>
      </c>
      <c r="F1219" s="4" t="n">
        <v>0.6721311475409836</v>
      </c>
      <c r="G1219" s="4" t="n">
        <v>0.6615236854371578</v>
      </c>
      <c r="H1219" s="3" t="n">
        <v>13591311.18482618</v>
      </c>
      <c r="I1219" s="3" t="n">
        <v>-148148.9777643811</v>
      </c>
      <c r="J1219" s="4" t="n">
        <v>-0.0109002711916257</v>
      </c>
      <c r="K1219">
        <f>IF(AND(I1219&gt;0,J1219&gt;=Assumptions!$B$4),1,0)</f>
        <v/>
      </c>
      <c r="L1219" s="3">
        <f>I1219*K1219</f>
        <v/>
      </c>
      <c r="M1219">
        <f>SUM($K$2:K1219)</f>
        <v/>
      </c>
    </row>
    <row r="1220">
      <c r="A1220" t="inlineStr">
        <is>
          <t>370149</t>
        </is>
      </c>
      <c r="B1220" t="inlineStr">
        <is>
          <t>Ssm Health St Anthony Hospital - Shawnee</t>
        </is>
      </c>
      <c r="C1220" t="inlineStr">
        <is>
          <t>OK</t>
        </is>
      </c>
      <c r="D1220" t="inlineStr">
        <is>
          <t>Micropolitan</t>
        </is>
      </c>
      <c r="E1220" s="5" t="n">
        <v>738</v>
      </c>
      <c r="F1220" s="4" t="n">
        <v>0.7195121951219512</v>
      </c>
      <c r="G1220" s="4" t="n">
        <v>0.6882352160630099</v>
      </c>
      <c r="H1220" s="3" t="n">
        <v>10994275.95821081</v>
      </c>
      <c r="I1220" s="3" t="n">
        <v>-148362.4723895974</v>
      </c>
      <c r="J1220" s="4" t="n">
        <v>-0.0134945195985185</v>
      </c>
      <c r="K1220">
        <f>IF(AND(I1220&gt;0,J1220&gt;=Assumptions!$B$4),1,0)</f>
        <v/>
      </c>
      <c r="L1220" s="3">
        <f>I1220*K1220</f>
        <v/>
      </c>
      <c r="M1220">
        <f>SUM($K$2:K1220)</f>
        <v/>
      </c>
    </row>
    <row r="1221">
      <c r="A1221" t="inlineStr">
        <is>
          <t>440228</t>
        </is>
      </c>
      <c r="B1221" t="inlineStr">
        <is>
          <t>Saint Francis Bartlett Medical Center</t>
        </is>
      </c>
      <c r="C1221" t="inlineStr">
        <is>
          <t>TN</t>
        </is>
      </c>
      <c r="D1221" t="inlineStr">
        <is>
          <t>Metropolitan</t>
        </is>
      </c>
      <c r="E1221" s="5" t="n">
        <v>1153</v>
      </c>
      <c r="F1221" s="4" t="n">
        <v>0.6851691240242844</v>
      </c>
      <c r="G1221" s="4" t="n">
        <v>0.6613730333899466</v>
      </c>
      <c r="H1221" s="3" t="n">
        <v>16684140.98254687</v>
      </c>
      <c r="I1221" s="3" t="n">
        <v>-148671.1128540132</v>
      </c>
      <c r="J1221" s="4" t="n">
        <v>-0.0089109240331603</v>
      </c>
      <c r="K1221">
        <f>IF(AND(I1221&gt;0,J1221&gt;=Assumptions!$B$4),1,0)</f>
        <v/>
      </c>
      <c r="L1221" s="3">
        <f>I1221*K1221</f>
        <v/>
      </c>
      <c r="M1221">
        <f>SUM($K$2:K1221)</f>
        <v/>
      </c>
    </row>
    <row r="1222">
      <c r="A1222" t="inlineStr">
        <is>
          <t>510048</t>
        </is>
      </c>
      <c r="B1222" t="inlineStr">
        <is>
          <t>Logan Regional Medical Center</t>
        </is>
      </c>
      <c r="C1222" t="inlineStr">
        <is>
          <t>WV</t>
        </is>
      </c>
      <c r="D1222" t="inlineStr">
        <is>
          <t>Metropolitan</t>
        </is>
      </c>
      <c r="E1222" s="5" t="n">
        <v>679</v>
      </c>
      <c r="F1222" s="4" t="n">
        <v>0.7687776141384389</v>
      </c>
      <c r="G1222" s="4" t="n">
        <v>0.7253298473243704</v>
      </c>
      <c r="H1222" s="3" t="n">
        <v>8320967.36452572</v>
      </c>
      <c r="I1222" s="3" t="n">
        <v>-148934.2129783323</v>
      </c>
      <c r="J1222" s="4" t="n">
        <v>-0.017898665678377</v>
      </c>
      <c r="K1222">
        <f>IF(AND(I1222&gt;0,J1222&gt;=Assumptions!$B$4),1,0)</f>
        <v/>
      </c>
      <c r="L1222" s="3">
        <f>I1222*K1222</f>
        <v/>
      </c>
      <c r="M1222">
        <f>SUM($K$2:K1222)</f>
        <v/>
      </c>
    </row>
    <row r="1223">
      <c r="A1223" t="inlineStr">
        <is>
          <t>150015</t>
        </is>
      </c>
      <c r="B1223" t="inlineStr">
        <is>
          <t>Franciscan Health Michigan City</t>
        </is>
      </c>
      <c r="C1223" t="inlineStr">
        <is>
          <t>IN</t>
        </is>
      </c>
      <c r="D1223" t="inlineStr">
        <is>
          <t>Metropolitan</t>
        </is>
      </c>
      <c r="E1223" s="5" t="n">
        <v>1257</v>
      </c>
      <c r="F1223" s="4" t="n">
        <v>0.6085918854415274</v>
      </c>
      <c r="G1223" s="4" t="n">
        <v>0.6258887013341888</v>
      </c>
      <c r="H1223" s="3" t="n">
        <v>17980768.03292982</v>
      </c>
      <c r="I1223" s="3" t="n">
        <v>-149106.2647949234</v>
      </c>
      <c r="J1223" s="4" t="n">
        <v>-0.008292541482201999</v>
      </c>
      <c r="K1223">
        <f>IF(AND(I1223&gt;0,J1223&gt;=Assumptions!$B$4),1,0)</f>
        <v/>
      </c>
      <c r="L1223" s="3">
        <f>I1223*K1223</f>
        <v/>
      </c>
      <c r="M1223">
        <f>SUM($K$2:K1223)</f>
        <v/>
      </c>
    </row>
    <row r="1224">
      <c r="A1224" t="inlineStr">
        <is>
          <t>100167</t>
        </is>
      </c>
      <c r="B1224" t="inlineStr">
        <is>
          <t>Hca Florida Mercy Hospital</t>
        </is>
      </c>
      <c r="C1224" t="inlineStr">
        <is>
          <t>FL</t>
        </is>
      </c>
      <c r="D1224" t="inlineStr">
        <is>
          <t>Metropolitan</t>
        </is>
      </c>
      <c r="E1224" s="5" t="n">
        <v>804</v>
      </c>
      <c r="F1224" s="4" t="n">
        <v>0.6293532338308457</v>
      </c>
      <c r="G1224" s="4" t="n">
        <v>0.6216238568408935</v>
      </c>
      <c r="H1224" s="3" t="n">
        <v>10730080.97718301</v>
      </c>
      <c r="I1224" s="3" t="n">
        <v>-149242.9837688897</v>
      </c>
      <c r="J1224" s="4" t="n">
        <v>-0.013908840397966</v>
      </c>
      <c r="K1224">
        <f>IF(AND(I1224&gt;0,J1224&gt;=Assumptions!$B$4),1,0)</f>
        <v/>
      </c>
      <c r="L1224" s="3">
        <f>I1224*K1224</f>
        <v/>
      </c>
      <c r="M1224">
        <f>SUM($K$2:K1224)</f>
        <v/>
      </c>
    </row>
    <row r="1225">
      <c r="A1225" t="inlineStr">
        <is>
          <t>230036</t>
        </is>
      </c>
      <c r="B1225" t="inlineStr">
        <is>
          <t>Mymichigan Medical Center Alpena</t>
        </is>
      </c>
      <c r="C1225" t="inlineStr">
        <is>
          <t>MI</t>
        </is>
      </c>
      <c r="D1225" t="inlineStr">
        <is>
          <t>Micropolitan</t>
        </is>
      </c>
      <c r="E1225" s="5" t="n">
        <v>583</v>
      </c>
      <c r="F1225" s="4" t="n">
        <v>0.7238421955403087</v>
      </c>
      <c r="G1225" s="4" t="n">
        <v>0.6970736309072582</v>
      </c>
      <c r="H1225" s="3" t="n">
        <v>8248227.639931114</v>
      </c>
      <c r="I1225" s="3" t="n">
        <v>-149299.9539007172</v>
      </c>
      <c r="J1225" s="4" t="n">
        <v>-0.0181008527429492</v>
      </c>
      <c r="K1225">
        <f>IF(AND(I1225&gt;0,J1225&gt;=Assumptions!$B$4),1,0)</f>
        <v/>
      </c>
      <c r="L1225" s="3">
        <f>I1225*K1225</f>
        <v/>
      </c>
      <c r="M1225">
        <f>SUM($K$2:K1225)</f>
        <v/>
      </c>
    </row>
    <row r="1226">
      <c r="A1226" t="inlineStr">
        <is>
          <t>450236</t>
        </is>
      </c>
      <c r="B1226" t="inlineStr">
        <is>
          <t>Christus Mother Frances Hospital Sulphur Springs</t>
        </is>
      </c>
      <c r="C1226" t="inlineStr">
        <is>
          <t>TX</t>
        </is>
      </c>
      <c r="D1226" t="inlineStr">
        <is>
          <t>Micropolitan</t>
        </is>
      </c>
      <c r="E1226" s="5" t="n">
        <v>495</v>
      </c>
      <c r="F1226" s="4" t="n">
        <v>0.7757575757575758</v>
      </c>
      <c r="G1226" s="4" t="n">
        <v>0.7085543603172472</v>
      </c>
      <c r="H1226" s="3" t="n">
        <v>6206438.990710915</v>
      </c>
      <c r="I1226" s="3" t="n">
        <v>-149649.2194775613</v>
      </c>
      <c r="J1226" s="4" t="n">
        <v>-0.0241119295140964</v>
      </c>
      <c r="K1226">
        <f>IF(AND(I1226&gt;0,J1226&gt;=Assumptions!$B$4),1,0)</f>
        <v/>
      </c>
      <c r="L1226" s="3">
        <f>I1226*K1226</f>
        <v/>
      </c>
      <c r="M1226">
        <f>SUM($K$2:K1226)</f>
        <v/>
      </c>
    </row>
    <row r="1227">
      <c r="A1227" t="inlineStr">
        <is>
          <t>520100</t>
        </is>
      </c>
      <c r="B1227" t="inlineStr">
        <is>
          <t>Beloit Memorial Hospital</t>
        </is>
      </c>
      <c r="C1227" t="inlineStr">
        <is>
          <t>WI</t>
        </is>
      </c>
      <c r="D1227" t="inlineStr">
        <is>
          <t>Metropolitan</t>
        </is>
      </c>
      <c r="E1227" s="5" t="n">
        <v>636</v>
      </c>
      <c r="F1227" s="4" t="n">
        <v>0.7295597484276729</v>
      </c>
      <c r="G1227" s="4" t="n">
        <v>0.6904663351910209</v>
      </c>
      <c r="H1227" s="3" t="n">
        <v>8204738.106384899</v>
      </c>
      <c r="I1227" s="3" t="n">
        <v>-149870.9019982582</v>
      </c>
      <c r="J1227" s="4" t="n">
        <v>-0.0182663846249558</v>
      </c>
      <c r="K1227">
        <f>IF(AND(I1227&gt;0,J1227&gt;=Assumptions!$B$4),1,0)</f>
        <v/>
      </c>
      <c r="L1227" s="3">
        <f>I1227*K1227</f>
        <v/>
      </c>
      <c r="M1227">
        <f>SUM($K$2:K1227)</f>
        <v/>
      </c>
    </row>
    <row r="1228">
      <c r="A1228" t="inlineStr">
        <is>
          <t>460004</t>
        </is>
      </c>
      <c r="B1228" t="inlineStr">
        <is>
          <t>Mckay-Dee Hospital</t>
        </is>
      </c>
      <c r="C1228" t="inlineStr">
        <is>
          <t>UT</t>
        </is>
      </c>
      <c r="D1228" t="inlineStr">
        <is>
          <t>Metropolitan</t>
        </is>
      </c>
      <c r="E1228" s="5" t="n">
        <v>1659</v>
      </c>
      <c r="F1228" s="4" t="n">
        <v>0.6075949367088608</v>
      </c>
      <c r="G1228" s="4" t="n">
        <v>0.5753836827075737</v>
      </c>
      <c r="H1228" s="3" t="n">
        <v>32854557.44948504</v>
      </c>
      <c r="I1228" s="3" t="n">
        <v>-151112.0553982817</v>
      </c>
      <c r="J1228" s="4" t="n">
        <v>-0.0045994244673854</v>
      </c>
      <c r="K1228">
        <f>IF(AND(I1228&gt;0,J1228&gt;=Assumptions!$B$4),1,0)</f>
        <v/>
      </c>
      <c r="L1228" s="3">
        <f>I1228*K1228</f>
        <v/>
      </c>
      <c r="M1228">
        <f>SUM($K$2:K1228)</f>
        <v/>
      </c>
    </row>
    <row r="1229">
      <c r="A1229" t="inlineStr">
        <is>
          <t>100242</t>
        </is>
      </c>
      <c r="B1229" t="inlineStr">
        <is>
          <t>Hca Florida Gulf Coast Hospital</t>
        </is>
      </c>
      <c r="C1229" t="inlineStr">
        <is>
          <t>FL</t>
        </is>
      </c>
      <c r="D1229" t="inlineStr">
        <is>
          <t>Metropolitan</t>
        </is>
      </c>
      <c r="E1229" s="5" t="n">
        <v>2375</v>
      </c>
      <c r="F1229" s="4" t="n">
        <v>0.6513684210526316</v>
      </c>
      <c r="G1229" s="4" t="n">
        <v>0.6072770860413477</v>
      </c>
      <c r="H1229" s="3" t="n">
        <v>37036425.76827621</v>
      </c>
      <c r="I1229" s="3" t="n">
        <v>-151309.1749659032</v>
      </c>
      <c r="J1229" s="4" t="n">
        <v>-0.0040854151508191</v>
      </c>
      <c r="K1229">
        <f>IF(AND(I1229&gt;0,J1229&gt;=Assumptions!$B$4),1,0)</f>
        <v/>
      </c>
      <c r="L1229" s="3">
        <f>I1229*K1229</f>
        <v/>
      </c>
      <c r="M1229">
        <f>SUM($K$2:K1229)</f>
        <v/>
      </c>
    </row>
    <row r="1230">
      <c r="A1230" t="inlineStr">
        <is>
          <t>050382</t>
        </is>
      </c>
      <c r="B1230" t="inlineStr">
        <is>
          <t>Emanate Health Inter-Community Hospital</t>
        </is>
      </c>
      <c r="C1230" t="inlineStr">
        <is>
          <t>CA</t>
        </is>
      </c>
      <c r="D1230" t="inlineStr">
        <is>
          <t>Metropolitan</t>
        </is>
      </c>
      <c r="E1230" s="5" t="n">
        <v>2250</v>
      </c>
      <c r="F1230" s="4" t="n">
        <v>0.648</v>
      </c>
      <c r="G1230" s="4" t="n">
        <v>0.633764878467032</v>
      </c>
      <c r="H1230" s="3" t="n">
        <v>33410783.24188913</v>
      </c>
      <c r="I1230" s="3" t="n">
        <v>-152602.8520999141</v>
      </c>
      <c r="J1230" s="4" t="n">
        <v>-0.0045674730518914</v>
      </c>
      <c r="K1230">
        <f>IF(AND(I1230&gt;0,J1230&gt;=Assumptions!$B$4),1,0)</f>
        <v/>
      </c>
      <c r="L1230" s="3">
        <f>I1230*K1230</f>
        <v/>
      </c>
      <c r="M1230">
        <f>SUM($K$2:K1230)</f>
        <v/>
      </c>
    </row>
    <row r="1231">
      <c r="A1231" t="inlineStr">
        <is>
          <t>390073</t>
        </is>
      </c>
      <c r="B1231" t="inlineStr">
        <is>
          <t>Upmc Altoona</t>
        </is>
      </c>
      <c r="C1231" t="inlineStr">
        <is>
          <t>PA</t>
        </is>
      </c>
      <c r="D1231" t="inlineStr">
        <is>
          <t>Metropolitan</t>
        </is>
      </c>
      <c r="E1231" s="5" t="n">
        <v>1625</v>
      </c>
      <c r="F1231" s="4" t="n">
        <v>0.5581538461538461</v>
      </c>
      <c r="G1231" s="4" t="n">
        <v>0.5766540216541769</v>
      </c>
      <c r="H1231" s="3" t="n">
        <v>23899583.25176126</v>
      </c>
      <c r="I1231" s="3" t="n">
        <v>-153946.947093796</v>
      </c>
      <c r="J1231" s="4" t="n">
        <v>-0.0064414071773595</v>
      </c>
      <c r="K1231">
        <f>IF(AND(I1231&gt;0,J1231&gt;=Assumptions!$B$4),1,0)</f>
        <v/>
      </c>
      <c r="L1231" s="3">
        <f>I1231*K1231</f>
        <v/>
      </c>
      <c r="M1231">
        <f>SUM($K$2:K1231)</f>
        <v/>
      </c>
    </row>
    <row r="1232">
      <c r="A1232" t="inlineStr">
        <is>
          <t>330240</t>
        </is>
      </c>
      <c r="B1232" t="inlineStr">
        <is>
          <t>Harlem Hospital Center</t>
        </is>
      </c>
      <c r="C1232" t="inlineStr">
        <is>
          <t>NY</t>
        </is>
      </c>
      <c r="D1232" t="inlineStr">
        <is>
          <t>Metropolitan</t>
        </is>
      </c>
      <c r="E1232" s="5" t="n">
        <v>314</v>
      </c>
      <c r="F1232" s="4" t="n">
        <v>0.8726114649681529</v>
      </c>
      <c r="G1232" s="4" t="n">
        <v>0.7806123431599573</v>
      </c>
      <c r="H1232" s="3" t="n">
        <v>4439178.514952467</v>
      </c>
      <c r="I1232" s="3" t="n">
        <v>-155284.4605322191</v>
      </c>
      <c r="J1232" s="4" t="n">
        <v>-0.0349804496505772</v>
      </c>
      <c r="K1232">
        <f>IF(AND(I1232&gt;0,J1232&gt;=Assumptions!$B$4),1,0)</f>
        <v/>
      </c>
      <c r="L1232" s="3">
        <f>I1232*K1232</f>
        <v/>
      </c>
      <c r="M1232">
        <f>SUM($K$2:K1232)</f>
        <v/>
      </c>
    </row>
    <row r="1233">
      <c r="A1233" t="inlineStr">
        <is>
          <t>330221</t>
        </is>
      </c>
      <c r="B1233" t="inlineStr">
        <is>
          <t>Wyckoff Heights Medical Center</t>
        </is>
      </c>
      <c r="C1233" t="inlineStr">
        <is>
          <t>NY</t>
        </is>
      </c>
      <c r="D1233" t="inlineStr">
        <is>
          <t>Metropolitan</t>
        </is>
      </c>
      <c r="E1233" s="5" t="n">
        <v>483</v>
      </c>
      <c r="F1233" s="4" t="n">
        <v>0.7474120082815735</v>
      </c>
      <c r="G1233" s="4" t="n">
        <v>0.7072302290739536</v>
      </c>
      <c r="H1233" s="3" t="n">
        <v>7034795.297765805</v>
      </c>
      <c r="I1233" s="3" t="n">
        <v>-155822.3200125583</v>
      </c>
      <c r="J1233" s="4" t="n">
        <v>-0.0221502280332231</v>
      </c>
      <c r="K1233">
        <f>IF(AND(I1233&gt;0,J1233&gt;=Assumptions!$B$4),1,0)</f>
        <v/>
      </c>
      <c r="L1233" s="3">
        <f>I1233*K1233</f>
        <v/>
      </c>
      <c r="M1233">
        <f>SUM($K$2:K1233)</f>
        <v/>
      </c>
    </row>
    <row r="1234">
      <c r="A1234" t="inlineStr">
        <is>
          <t>110107</t>
        </is>
      </c>
      <c r="B1234" t="inlineStr">
        <is>
          <t>Atrium Health Navicent The Medical Center</t>
        </is>
      </c>
      <c r="C1234" t="inlineStr">
        <is>
          <t>GA</t>
        </is>
      </c>
      <c r="D1234" t="inlineStr">
        <is>
          <t>Metropolitan</t>
        </is>
      </c>
      <c r="E1234" s="5" t="n">
        <v>2999</v>
      </c>
      <c r="F1234" s="4" t="n">
        <v>0.5261753917972658</v>
      </c>
      <c r="G1234" s="4" t="n">
        <v>0.5139769415885159</v>
      </c>
      <c r="H1234" s="3" t="n">
        <v>56893077.47553267</v>
      </c>
      <c r="I1234" s="3" t="n">
        <v>-156680.6211815998</v>
      </c>
      <c r="J1234" s="4" t="n">
        <v>-0.0027539487778452</v>
      </c>
      <c r="K1234">
        <f>IF(AND(I1234&gt;0,J1234&gt;=Assumptions!$B$4),1,0)</f>
        <v/>
      </c>
      <c r="L1234" s="3">
        <f>I1234*K1234</f>
        <v/>
      </c>
      <c r="M1234">
        <f>SUM($K$2:K1234)</f>
        <v/>
      </c>
    </row>
    <row r="1235">
      <c r="A1235" t="inlineStr">
        <is>
          <t>450032</t>
        </is>
      </c>
      <c r="B1235" t="inlineStr">
        <is>
          <t>Christus Good Shepherd Medical Center</t>
        </is>
      </c>
      <c r="C1235" t="inlineStr">
        <is>
          <t>TX</t>
        </is>
      </c>
      <c r="D1235" t="inlineStr">
        <is>
          <t>Metropolitan</t>
        </is>
      </c>
      <c r="E1235" s="5" t="n">
        <v>2607</v>
      </c>
      <c r="F1235" s="4" t="n">
        <v>0.6371308016877637</v>
      </c>
      <c r="G1235" s="4" t="n">
        <v>0.628250696165948</v>
      </c>
      <c r="H1235" s="3" t="n">
        <v>39707230.21840194</v>
      </c>
      <c r="I1235" s="3" t="n">
        <v>-156928.9897045493</v>
      </c>
      <c r="J1235" s="4" t="n">
        <v>-0.0039521515059446</v>
      </c>
      <c r="K1235">
        <f>IF(AND(I1235&gt;0,J1235&gt;=Assumptions!$B$4),1,0)</f>
        <v/>
      </c>
      <c r="L1235" s="3">
        <f>I1235*K1235</f>
        <v/>
      </c>
      <c r="M1235">
        <f>SUM($K$2:K1235)</f>
        <v/>
      </c>
    </row>
    <row r="1236">
      <c r="A1236" t="inlineStr">
        <is>
          <t>100150</t>
        </is>
      </c>
      <c r="B1236" t="inlineStr">
        <is>
          <t>Lower Keys Medical Center</t>
        </is>
      </c>
      <c r="C1236" t="inlineStr">
        <is>
          <t>FL</t>
        </is>
      </c>
      <c r="D1236" t="inlineStr">
        <is>
          <t>Micropolitan</t>
        </is>
      </c>
      <c r="E1236" s="5" t="n">
        <v>391</v>
      </c>
      <c r="F1236" s="4" t="n">
        <v>0.7263427109974424</v>
      </c>
      <c r="G1236" s="4" t="n">
        <v>0.6556709083441192</v>
      </c>
      <c r="H1236" s="3" t="n">
        <v>4490192.038357052</v>
      </c>
      <c r="I1236" s="3" t="n">
        <v>-159080.8183007268</v>
      </c>
      <c r="J1236" s="4" t="n">
        <v>-0.0354285110618418</v>
      </c>
      <c r="K1236">
        <f>IF(AND(I1236&gt;0,J1236&gt;=Assumptions!$B$4),1,0)</f>
        <v/>
      </c>
      <c r="L1236" s="3">
        <f>I1236*K1236</f>
        <v/>
      </c>
      <c r="M1236">
        <f>SUM($K$2:K1236)</f>
        <v/>
      </c>
    </row>
    <row r="1237">
      <c r="A1237" t="inlineStr">
        <is>
          <t>050179</t>
        </is>
      </c>
      <c r="B1237" t="inlineStr">
        <is>
          <t>Emanuel Medical Center</t>
        </is>
      </c>
      <c r="C1237" t="inlineStr">
        <is>
          <t>CA</t>
        </is>
      </c>
      <c r="D1237" t="inlineStr">
        <is>
          <t>Metropolitan</t>
        </is>
      </c>
      <c r="E1237" s="5" t="n">
        <v>1431</v>
      </c>
      <c r="F1237" s="4" t="n">
        <v>0.686932215234102</v>
      </c>
      <c r="G1237" s="4" t="n">
        <v>0.6691894332214886</v>
      </c>
      <c r="H1237" s="3" t="n">
        <v>20749684.16696215</v>
      </c>
      <c r="I1237" s="3" t="n">
        <v>-159167.2631169632</v>
      </c>
      <c r="J1237" s="4" t="n">
        <v>-0.0076708282321901</v>
      </c>
      <c r="K1237">
        <f>IF(AND(I1237&gt;0,J1237&gt;=Assumptions!$B$4),1,0)</f>
        <v/>
      </c>
      <c r="L1237" s="3">
        <f>I1237*K1237</f>
        <v/>
      </c>
      <c r="M1237">
        <f>SUM($K$2:K1237)</f>
        <v/>
      </c>
    </row>
    <row r="1238">
      <c r="A1238" t="inlineStr">
        <is>
          <t>500119</t>
        </is>
      </c>
      <c r="B1238" t="inlineStr">
        <is>
          <t>Multicare Valley Hospital</t>
        </is>
      </c>
      <c r="C1238" t="inlineStr">
        <is>
          <t>WA</t>
        </is>
      </c>
      <c r="D1238" t="inlineStr">
        <is>
          <t>Metropolitan</t>
        </is>
      </c>
      <c r="E1238" s="5" t="n">
        <v>711</v>
      </c>
      <c r="F1238" s="4" t="n">
        <v>0.7271448663853727</v>
      </c>
      <c r="G1238" s="4" t="n">
        <v>0.6823037795404709</v>
      </c>
      <c r="H1238" s="3" t="n">
        <v>9963562.55657378</v>
      </c>
      <c r="I1238" s="3" t="n">
        <v>-161288.9434698448</v>
      </c>
      <c r="J1238" s="4" t="n">
        <v>-0.0161878788389228</v>
      </c>
      <c r="K1238">
        <f>IF(AND(I1238&gt;0,J1238&gt;=Assumptions!$B$4),1,0)</f>
        <v/>
      </c>
      <c r="L1238" s="3">
        <f>I1238*K1238</f>
        <v/>
      </c>
      <c r="M1238">
        <f>SUM($K$2:K1238)</f>
        <v/>
      </c>
    </row>
    <row r="1239">
      <c r="A1239" t="inlineStr">
        <is>
          <t>390156</t>
        </is>
      </c>
      <c r="B1239" t="inlineStr">
        <is>
          <t>Mercy Catholic Medical Center- Mercy Fitzgerald</t>
        </is>
      </c>
      <c r="C1239" t="inlineStr">
        <is>
          <t>PA</t>
        </is>
      </c>
      <c r="D1239" t="inlineStr">
        <is>
          <t>Metropolitan</t>
        </is>
      </c>
      <c r="E1239" s="5" t="n">
        <v>840</v>
      </c>
      <c r="F1239" s="4" t="n">
        <v>0.6928571428571428</v>
      </c>
      <c r="G1239" s="4" t="n">
        <v>0.6830667879785514</v>
      </c>
      <c r="H1239" s="3" t="n">
        <v>11396678.06839374</v>
      </c>
      <c r="I1239" s="3" t="n">
        <v>-161350.3088398054</v>
      </c>
      <c r="J1239" s="4" t="n">
        <v>-0.0141576613704019</v>
      </c>
      <c r="K1239">
        <f>IF(AND(I1239&gt;0,J1239&gt;=Assumptions!$B$4),1,0)</f>
        <v/>
      </c>
      <c r="L1239" s="3">
        <f>I1239*K1239</f>
        <v/>
      </c>
      <c r="M1239">
        <f>SUM($K$2:K1239)</f>
        <v/>
      </c>
    </row>
    <row r="1240">
      <c r="A1240" t="inlineStr">
        <is>
          <t>050262</t>
        </is>
      </c>
      <c r="B1240" t="inlineStr">
        <is>
          <t>Ronald Reagan Ucla Medical Center</t>
        </is>
      </c>
      <c r="C1240" t="inlineStr">
        <is>
          <t>CA</t>
        </is>
      </c>
      <c r="D1240" t="inlineStr">
        <is>
          <t>Metropolitan</t>
        </is>
      </c>
      <c r="E1240" s="5" t="n">
        <v>3550</v>
      </c>
      <c r="F1240" s="4" t="n">
        <v>0.6185915492957746</v>
      </c>
      <c r="G1240" s="4" t="n">
        <v>0.5995242613051351</v>
      </c>
      <c r="H1240" s="3" t="n">
        <v>74921053.8341877</v>
      </c>
      <c r="I1240" s="3" t="n">
        <v>-161904.4672608823</v>
      </c>
      <c r="J1240" s="4" t="n">
        <v>-0.0021610009333184</v>
      </c>
      <c r="K1240">
        <f>IF(AND(I1240&gt;0,J1240&gt;=Assumptions!$B$4),1,0)</f>
        <v/>
      </c>
      <c r="L1240" s="3">
        <f>I1240*K1240</f>
        <v/>
      </c>
      <c r="M1240">
        <f>SUM($K$2:K1240)</f>
        <v/>
      </c>
    </row>
    <row r="1241">
      <c r="A1241" t="inlineStr">
        <is>
          <t>370078</t>
        </is>
      </c>
      <c r="B1241" t="inlineStr">
        <is>
          <t>Oklahoma State University Medical Center</t>
        </is>
      </c>
      <c r="C1241" t="inlineStr">
        <is>
          <t>OK</t>
        </is>
      </c>
      <c r="D1241" t="inlineStr">
        <is>
          <t>Metropolitan</t>
        </is>
      </c>
      <c r="E1241" s="5" t="n">
        <v>618</v>
      </c>
      <c r="F1241" s="4" t="n">
        <v>0.7071197411003236</v>
      </c>
      <c r="G1241" s="4" t="n">
        <v>0.6951635973102405</v>
      </c>
      <c r="H1241" s="3" t="n">
        <v>9223132.490270993</v>
      </c>
      <c r="I1241" s="3" t="n">
        <v>-162281.689159099</v>
      </c>
      <c r="J1241" s="4" t="n">
        <v>-0.0175950729679186</v>
      </c>
      <c r="K1241">
        <f>IF(AND(I1241&gt;0,J1241&gt;=Assumptions!$B$4),1,0)</f>
        <v/>
      </c>
      <c r="L1241" s="3">
        <f>I1241*K1241</f>
        <v/>
      </c>
      <c r="M1241">
        <f>SUM($K$2:K1241)</f>
        <v/>
      </c>
    </row>
    <row r="1242">
      <c r="A1242" t="inlineStr">
        <is>
          <t>450124</t>
        </is>
      </c>
      <c r="B1242" t="inlineStr">
        <is>
          <t>Dell Seton  Med Center At The University Of Tx</t>
        </is>
      </c>
      <c r="C1242" t="inlineStr">
        <is>
          <t>TX</t>
        </is>
      </c>
      <c r="D1242" t="inlineStr">
        <is>
          <t>Metropolitan</t>
        </is>
      </c>
      <c r="E1242" s="5" t="n">
        <v>430</v>
      </c>
      <c r="F1242" s="4" t="n">
        <v>0.5674418604651162</v>
      </c>
      <c r="G1242" s="4" t="n">
        <v>0.573061821273954</v>
      </c>
      <c r="H1242" s="3" t="n">
        <v>7693701.384515279</v>
      </c>
      <c r="I1242" s="3" t="n">
        <v>-162471.5391731085</v>
      </c>
      <c r="J1242" s="4" t="n">
        <v>-0.0211174740288343</v>
      </c>
      <c r="K1242">
        <f>IF(AND(I1242&gt;0,J1242&gt;=Assumptions!$B$4),1,0)</f>
        <v/>
      </c>
      <c r="L1242" s="3">
        <f>I1242*K1242</f>
        <v/>
      </c>
      <c r="M1242">
        <f>SUM($K$2:K1242)</f>
        <v/>
      </c>
    </row>
    <row r="1243">
      <c r="A1243" t="inlineStr">
        <is>
          <t>050075</t>
        </is>
      </c>
      <c r="B1243" t="inlineStr">
        <is>
          <t>Kaiser Foundation Hospital - Oakland/Richmond</t>
        </is>
      </c>
      <c r="C1243" t="inlineStr">
        <is>
          <t>CA</t>
        </is>
      </c>
      <c r="D1243" t="inlineStr">
        <is>
          <t>Metropolitan</t>
        </is>
      </c>
      <c r="E1243" s="5" t="n">
        <v>686</v>
      </c>
      <c r="F1243" s="4" t="n">
        <v>0.7915451895043731</v>
      </c>
      <c r="G1243" s="4" t="n">
        <v>0.7591810719586922</v>
      </c>
      <c r="H1243" s="3" t="n">
        <v>10060447.13924264</v>
      </c>
      <c r="I1243" s="3" t="n">
        <v>-162541.011793403</v>
      </c>
      <c r="J1243" s="4" t="n">
        <v>-0.0161564401207757</v>
      </c>
      <c r="K1243">
        <f>IF(AND(I1243&gt;0,J1243&gt;=Assumptions!$B$4),1,0)</f>
        <v/>
      </c>
      <c r="L1243" s="3">
        <f>I1243*K1243</f>
        <v/>
      </c>
      <c r="M1243">
        <f>SUM($K$2:K1243)</f>
        <v/>
      </c>
    </row>
    <row r="1244">
      <c r="A1244" t="inlineStr">
        <is>
          <t>360055</t>
        </is>
      </c>
      <c r="B1244" t="inlineStr">
        <is>
          <t>Trumbull Regional Medical Center</t>
        </is>
      </c>
      <c r="C1244" t="inlineStr">
        <is>
          <t>OH</t>
        </is>
      </c>
      <c r="D1244" t="inlineStr">
        <is>
          <t>Unclassified</t>
        </is>
      </c>
      <c r="E1244" s="5" t="n">
        <v>594</v>
      </c>
      <c r="F1244" s="4" t="n">
        <v>0.6515151515151515</v>
      </c>
      <c r="G1244" s="4" t="n">
        <v>0.6184294300569335</v>
      </c>
      <c r="H1244" s="3" t="n">
        <v>7214387.729174205</v>
      </c>
      <c r="I1244" s="3" t="n">
        <v>-162903.2828386324</v>
      </c>
      <c r="J1244" s="4" t="n">
        <v>-0.0225803337655209</v>
      </c>
      <c r="K1244">
        <f>IF(AND(I1244&gt;0,J1244&gt;=Assumptions!$B$4),1,0)</f>
        <v/>
      </c>
      <c r="L1244" s="3">
        <f>I1244*K1244</f>
        <v/>
      </c>
      <c r="M1244">
        <f>SUM($K$2:K1244)</f>
        <v/>
      </c>
    </row>
    <row r="1245">
      <c r="A1245" t="inlineStr">
        <is>
          <t>110079</t>
        </is>
      </c>
      <c r="B1245" t="inlineStr">
        <is>
          <t>Grady Memorial Hospital</t>
        </is>
      </c>
      <c r="C1245" t="inlineStr">
        <is>
          <t>GA</t>
        </is>
      </c>
      <c r="D1245" t="inlineStr">
        <is>
          <t>Metropolitan</t>
        </is>
      </c>
      <c r="E1245" s="5" t="n">
        <v>1923</v>
      </c>
      <c r="F1245" s="4" t="n">
        <v>0.5262610504420177</v>
      </c>
      <c r="G1245" s="4" t="n">
        <v>0.526079973461854</v>
      </c>
      <c r="H1245" s="3" t="n">
        <v>29302460.51472252</v>
      </c>
      <c r="I1245" s="3" t="n">
        <v>-164043.5924065076</v>
      </c>
      <c r="J1245" s="4" t="n">
        <v>-0.005598287294819</v>
      </c>
      <c r="K1245">
        <f>IF(AND(I1245&gt;0,J1245&gt;=Assumptions!$B$4),1,0)</f>
        <v/>
      </c>
      <c r="L1245" s="3">
        <f>I1245*K1245</f>
        <v/>
      </c>
      <c r="M1245">
        <f>SUM($K$2:K1245)</f>
        <v/>
      </c>
    </row>
    <row r="1246">
      <c r="A1246" t="inlineStr">
        <is>
          <t>050496</t>
        </is>
      </c>
      <c r="B1246" t="inlineStr">
        <is>
          <t>John Muir Medical Center - Concord Campus</t>
        </is>
      </c>
      <c r="C1246" t="inlineStr">
        <is>
          <t>CA</t>
        </is>
      </c>
      <c r="D1246" t="inlineStr">
        <is>
          <t>Metropolitan</t>
        </is>
      </c>
      <c r="E1246" s="5" t="n">
        <v>2926</v>
      </c>
      <c r="F1246" s="4" t="n">
        <v>0.5676691729323309</v>
      </c>
      <c r="G1246" s="4" t="n">
        <v>0.5525420259358795</v>
      </c>
      <c r="H1246" s="3" t="n">
        <v>55889623.29964899</v>
      </c>
      <c r="I1246" s="3" t="n">
        <v>-165566.77861166</v>
      </c>
      <c r="J1246" s="4" t="n">
        <v>-0.0029623885228924</v>
      </c>
      <c r="K1246">
        <f>IF(AND(I1246&gt;0,J1246&gt;=Assumptions!$B$4),1,0)</f>
        <v/>
      </c>
      <c r="L1246" s="3">
        <f>I1246*K1246</f>
        <v/>
      </c>
      <c r="M1246">
        <f>SUM($K$2:K1246)</f>
        <v/>
      </c>
    </row>
    <row r="1247">
      <c r="A1247" t="inlineStr">
        <is>
          <t>060131</t>
        </is>
      </c>
      <c r="B1247" t="inlineStr">
        <is>
          <t>Uchealth Greeley Hospital</t>
        </is>
      </c>
      <c r="C1247" t="inlineStr">
        <is>
          <t>CO</t>
        </is>
      </c>
      <c r="D1247" t="inlineStr">
        <is>
          <t>Metropolitan</t>
        </is>
      </c>
      <c r="E1247" s="5" t="n">
        <v>498</v>
      </c>
      <c r="F1247" s="4" t="n">
        <v>0.6847389558232931</v>
      </c>
      <c r="G1247" s="4" t="n">
        <v>0.6774562744487949</v>
      </c>
      <c r="H1247" s="3" t="n">
        <v>7096988.557731896</v>
      </c>
      <c r="I1247" s="3" t="n">
        <v>-167608.6689914847</v>
      </c>
      <c r="J1247" s="4" t="n">
        <v>-0.0236168718080969</v>
      </c>
      <c r="K1247">
        <f>IF(AND(I1247&gt;0,J1247&gt;=Assumptions!$B$4),1,0)</f>
        <v/>
      </c>
      <c r="L1247" s="3">
        <f>I1247*K1247</f>
        <v/>
      </c>
      <c r="M1247">
        <f>SUM($K$2:K1247)</f>
        <v/>
      </c>
    </row>
    <row r="1248">
      <c r="A1248" t="inlineStr">
        <is>
          <t>360075</t>
        </is>
      </c>
      <c r="B1248" t="inlineStr">
        <is>
          <t>Uh Regional Hospitals</t>
        </is>
      </c>
      <c r="C1248" t="inlineStr">
        <is>
          <t>OH</t>
        </is>
      </c>
      <c r="D1248" t="inlineStr">
        <is>
          <t>Metropolitan</t>
        </is>
      </c>
      <c r="E1248" s="5" t="n">
        <v>862</v>
      </c>
      <c r="F1248" s="4" t="n">
        <v>0.6577726218097448</v>
      </c>
      <c r="G1248" s="4" t="n">
        <v>0.6253606384738745</v>
      </c>
      <c r="H1248" s="3" t="n">
        <v>10489236.01785782</v>
      </c>
      <c r="I1248" s="3" t="n">
        <v>-168181.8430704251</v>
      </c>
      <c r="J1248" s="4" t="n">
        <v>-0.0160337552500579</v>
      </c>
      <c r="K1248">
        <f>IF(AND(I1248&gt;0,J1248&gt;=Assumptions!$B$4),1,0)</f>
        <v/>
      </c>
      <c r="L1248" s="3">
        <f>I1248*K1248</f>
        <v/>
      </c>
      <c r="M1248">
        <f>SUM($K$2:K1248)</f>
        <v/>
      </c>
    </row>
    <row r="1249">
      <c r="A1249" t="inlineStr">
        <is>
          <t>260025</t>
        </is>
      </c>
      <c r="B1249" t="inlineStr">
        <is>
          <t>Hannibal Regional Hospital</t>
        </is>
      </c>
      <c r="C1249" t="inlineStr">
        <is>
          <t>MO</t>
        </is>
      </c>
      <c r="D1249" t="inlineStr">
        <is>
          <t>Micropolitan</t>
        </is>
      </c>
      <c r="E1249" s="5" t="n">
        <v>1017</v>
      </c>
      <c r="F1249" s="4" t="n">
        <v>0.688298918387414</v>
      </c>
      <c r="G1249" s="4" t="n">
        <v>0.6923667024007233</v>
      </c>
      <c r="H1249" s="3" t="n">
        <v>14229995.06822926</v>
      </c>
      <c r="I1249" s="3" t="n">
        <v>-170515.1281751022</v>
      </c>
      <c r="J1249" s="4" t="n">
        <v>-0.0119827960134578</v>
      </c>
      <c r="K1249">
        <f>IF(AND(I1249&gt;0,J1249&gt;=Assumptions!$B$4),1,0)</f>
        <v/>
      </c>
      <c r="L1249" s="3">
        <f>I1249*K1249</f>
        <v/>
      </c>
      <c r="M1249">
        <f>SUM($K$2:K1249)</f>
        <v/>
      </c>
    </row>
    <row r="1250">
      <c r="A1250" t="inlineStr">
        <is>
          <t>040071</t>
        </is>
      </c>
      <c r="B1250" t="inlineStr">
        <is>
          <t>Jefferson Regional Medical Center</t>
        </is>
      </c>
      <c r="C1250" t="inlineStr">
        <is>
          <t>AR</t>
        </is>
      </c>
      <c r="D1250" t="inlineStr">
        <is>
          <t>Metropolitan</t>
        </is>
      </c>
      <c r="E1250" s="5" t="n">
        <v>866</v>
      </c>
      <c r="F1250" s="4" t="n">
        <v>0.6963048498845266</v>
      </c>
      <c r="G1250" s="4" t="n">
        <v>0.6495808424487916</v>
      </c>
      <c r="H1250" s="3" t="n">
        <v>11893681.97460513</v>
      </c>
      <c r="I1250" s="3" t="n">
        <v>-171207.0023651607</v>
      </c>
      <c r="J1250" s="4" t="n">
        <v>-0.0143947856291024</v>
      </c>
      <c r="K1250">
        <f>IF(AND(I1250&gt;0,J1250&gt;=Assumptions!$B$4),1,0)</f>
        <v/>
      </c>
      <c r="L1250" s="3">
        <f>I1250*K1250</f>
        <v/>
      </c>
      <c r="M1250">
        <f>SUM($K$2:K1250)</f>
        <v/>
      </c>
    </row>
    <row r="1251">
      <c r="A1251" t="inlineStr">
        <is>
          <t>330259</t>
        </is>
      </c>
      <c r="B1251" t="inlineStr">
        <is>
          <t>Mercy Medical Center</t>
        </is>
      </c>
      <c r="C1251" t="inlineStr">
        <is>
          <t>NY</t>
        </is>
      </c>
      <c r="D1251" t="inlineStr">
        <is>
          <t>Metropolitan</t>
        </is>
      </c>
      <c r="E1251" s="5" t="n">
        <v>1468</v>
      </c>
      <c r="F1251" s="4" t="n">
        <v>0.6151226158038147</v>
      </c>
      <c r="G1251" s="4" t="n">
        <v>0.6108125560607921</v>
      </c>
      <c r="H1251" s="3" t="n">
        <v>19092069.96699196</v>
      </c>
      <c r="I1251" s="3" t="n">
        <v>-172052.0696157105</v>
      </c>
      <c r="J1251" s="4" t="n">
        <v>-0.009011703283780601</v>
      </c>
      <c r="K1251">
        <f>IF(AND(I1251&gt;0,J1251&gt;=Assumptions!$B$4),1,0)</f>
        <v/>
      </c>
      <c r="L1251" s="3">
        <f>I1251*K1251</f>
        <v/>
      </c>
      <c r="M1251">
        <f>SUM($K$2:K1251)</f>
        <v/>
      </c>
    </row>
    <row r="1252">
      <c r="A1252" t="inlineStr">
        <is>
          <t>100268</t>
        </is>
      </c>
      <c r="B1252" t="inlineStr">
        <is>
          <t>West Boca Medical Center</t>
        </is>
      </c>
      <c r="C1252" t="inlineStr">
        <is>
          <t>FL</t>
        </is>
      </c>
      <c r="D1252" t="inlineStr">
        <is>
          <t>Metropolitan</t>
        </is>
      </c>
      <c r="E1252" s="5" t="n">
        <v>808</v>
      </c>
      <c r="F1252" s="4" t="n">
        <v>0.5965346534653465</v>
      </c>
      <c r="G1252" s="4" t="n">
        <v>0.5847428178597921</v>
      </c>
      <c r="H1252" s="3" t="n">
        <v>11215814.52386896</v>
      </c>
      <c r="I1252" s="3" t="n">
        <v>-172220.8547510561</v>
      </c>
      <c r="J1252" s="4" t="n">
        <v>-0.0153551803468703</v>
      </c>
      <c r="K1252">
        <f>IF(AND(I1252&gt;0,J1252&gt;=Assumptions!$B$4),1,0)</f>
        <v/>
      </c>
      <c r="L1252" s="3">
        <f>I1252*K1252</f>
        <v/>
      </c>
      <c r="M1252">
        <f>SUM($K$2:K1252)</f>
        <v/>
      </c>
    </row>
    <row r="1253">
      <c r="A1253" t="inlineStr">
        <is>
          <t>330218</t>
        </is>
      </c>
      <c r="B1253" t="inlineStr">
        <is>
          <t>Oswego Hospital</t>
        </is>
      </c>
      <c r="C1253" t="inlineStr">
        <is>
          <t>NY</t>
        </is>
      </c>
      <c r="D1253" t="inlineStr">
        <is>
          <t>Micropolitan</t>
        </is>
      </c>
      <c r="E1253" s="5" t="n">
        <v>393</v>
      </c>
      <c r="F1253" s="4" t="n">
        <v>0.8015267175572519</v>
      </c>
      <c r="G1253" s="4" t="n">
        <v>0.722043551054769</v>
      </c>
      <c r="H1253" s="3" t="n">
        <v>5128790.110602069</v>
      </c>
      <c r="I1253" s="3" t="n">
        <v>-173636.5716849212</v>
      </c>
      <c r="J1253" s="4" t="n">
        <v>-0.0338552695548966</v>
      </c>
      <c r="K1253">
        <f>IF(AND(I1253&gt;0,J1253&gt;=Assumptions!$B$4),1,0)</f>
        <v/>
      </c>
      <c r="L1253" s="3">
        <f>I1253*K1253</f>
        <v/>
      </c>
      <c r="M1253">
        <f>SUM($K$2:K1253)</f>
        <v/>
      </c>
    </row>
    <row r="1254">
      <c r="A1254" t="inlineStr">
        <is>
          <t>100180</t>
        </is>
      </c>
      <c r="B1254" t="inlineStr">
        <is>
          <t>Hca Florida St Petersburg Hospital</t>
        </is>
      </c>
      <c r="C1254" t="inlineStr">
        <is>
          <t>FL</t>
        </is>
      </c>
      <c r="D1254" t="inlineStr">
        <is>
          <t>Metropolitan</t>
        </is>
      </c>
      <c r="E1254" s="5" t="n">
        <v>382</v>
      </c>
      <c r="F1254" s="4" t="n">
        <v>0.7879581151832461</v>
      </c>
      <c r="G1254" s="4" t="n">
        <v>0.7231514597590996</v>
      </c>
      <c r="H1254" s="3" t="n">
        <v>5648971.318188663</v>
      </c>
      <c r="I1254" s="3" t="n">
        <v>-174014.7373224441</v>
      </c>
      <c r="J1254" s="4" t="n">
        <v>-0.0308046770855692</v>
      </c>
      <c r="K1254">
        <f>IF(AND(I1254&gt;0,J1254&gt;=Assumptions!$B$4),1,0)</f>
        <v/>
      </c>
      <c r="L1254" s="3">
        <f>I1254*K1254</f>
        <v/>
      </c>
      <c r="M1254">
        <f>SUM($K$2:K1254)</f>
        <v/>
      </c>
    </row>
    <row r="1255">
      <c r="A1255" t="inlineStr">
        <is>
          <t>260191</t>
        </is>
      </c>
      <c r="B1255" t="inlineStr">
        <is>
          <t>Barnes-Jewish St Peters Hospital</t>
        </is>
      </c>
      <c r="C1255" t="inlineStr">
        <is>
          <t>MO</t>
        </is>
      </c>
      <c r="D1255" t="inlineStr">
        <is>
          <t>Metropolitan</t>
        </is>
      </c>
      <c r="E1255" s="5" t="n">
        <v>1092</v>
      </c>
      <c r="F1255" s="4" t="n">
        <v>0.6474358974358975</v>
      </c>
      <c r="G1255" s="4" t="n">
        <v>0.6334237015281737</v>
      </c>
      <c r="H1255" s="3" t="n">
        <v>14863667.02534798</v>
      </c>
      <c r="I1255" s="3" t="n">
        <v>-174624.1403601039</v>
      </c>
      <c r="J1255" s="4" t="n">
        <v>-0.0117483888775432</v>
      </c>
      <c r="K1255">
        <f>IF(AND(I1255&gt;0,J1255&gt;=Assumptions!$B$4),1,0)</f>
        <v/>
      </c>
      <c r="L1255" s="3">
        <f>I1255*K1255</f>
        <v/>
      </c>
      <c r="M1255">
        <f>SUM($K$2:K1255)</f>
        <v/>
      </c>
    </row>
    <row r="1256">
      <c r="A1256" t="inlineStr">
        <is>
          <t>500011</t>
        </is>
      </c>
      <c r="B1256" t="inlineStr">
        <is>
          <t>St Anne Hospital</t>
        </is>
      </c>
      <c r="C1256" t="inlineStr">
        <is>
          <t>WA</t>
        </is>
      </c>
      <c r="D1256" t="inlineStr">
        <is>
          <t>Metropolitan</t>
        </is>
      </c>
      <c r="E1256" s="5" t="n">
        <v>558</v>
      </c>
      <c r="F1256" s="4" t="n">
        <v>0.7526881720430108</v>
      </c>
      <c r="G1256" s="4" t="n">
        <v>0.6980369935422196</v>
      </c>
      <c r="H1256" s="3" t="n">
        <v>7784236.859074069</v>
      </c>
      <c r="I1256" s="3" t="n">
        <v>-175569.6184294038</v>
      </c>
      <c r="J1256" s="4" t="n">
        <v>-0.0225545061908981</v>
      </c>
      <c r="K1256">
        <f>IF(AND(I1256&gt;0,J1256&gt;=Assumptions!$B$4),1,0)</f>
        <v/>
      </c>
      <c r="L1256" s="3">
        <f>I1256*K1256</f>
        <v/>
      </c>
      <c r="M1256">
        <f>SUM($K$2:K1256)</f>
        <v/>
      </c>
    </row>
    <row r="1257">
      <c r="A1257" t="inlineStr">
        <is>
          <t>310092</t>
        </is>
      </c>
      <c r="B1257" t="inlineStr">
        <is>
          <t>Capital Health Regional Medical Center</t>
        </is>
      </c>
      <c r="C1257" t="inlineStr">
        <is>
          <t>NJ</t>
        </is>
      </c>
      <c r="D1257" t="inlineStr">
        <is>
          <t>Metropolitan</t>
        </is>
      </c>
      <c r="E1257" s="5" t="n">
        <v>735</v>
      </c>
      <c r="F1257" s="4" t="n">
        <v>0.6843537414965987</v>
      </c>
      <c r="G1257" s="4" t="n">
        <v>0.6358449217727529</v>
      </c>
      <c r="H1257" s="3" t="n">
        <v>10056271.53004233</v>
      </c>
      <c r="I1257" s="3" t="n">
        <v>-175700.5645428654</v>
      </c>
      <c r="J1257" s="4" t="n">
        <v>-0.0174717402983773</v>
      </c>
      <c r="K1257">
        <f>IF(AND(I1257&gt;0,J1257&gt;=Assumptions!$B$4),1,0)</f>
        <v/>
      </c>
      <c r="L1257" s="3">
        <f>I1257*K1257</f>
        <v/>
      </c>
      <c r="M1257">
        <f>SUM($K$2:K1257)</f>
        <v/>
      </c>
    </row>
    <row r="1258">
      <c r="A1258" t="inlineStr">
        <is>
          <t>450869</t>
        </is>
      </c>
      <c r="B1258" t="inlineStr">
        <is>
          <t>Doctors Hosptal At Renaissance</t>
        </is>
      </c>
      <c r="C1258" t="inlineStr">
        <is>
          <t>TX</t>
        </is>
      </c>
      <c r="D1258" t="inlineStr">
        <is>
          <t>Metropolitan</t>
        </is>
      </c>
      <c r="E1258" s="5" t="n">
        <v>933</v>
      </c>
      <c r="F1258" s="4" t="n">
        <v>0.7106109324758842</v>
      </c>
      <c r="G1258" s="4" t="n">
        <v>0.7009147267371874</v>
      </c>
      <c r="H1258" s="3" t="n">
        <v>15568657.00854539</v>
      </c>
      <c r="I1258" s="3" t="n">
        <v>-176820.5036212336</v>
      </c>
      <c r="J1258" s="4" t="n">
        <v>-0.0113574667053285</v>
      </c>
      <c r="K1258">
        <f>IF(AND(I1258&gt;0,J1258&gt;=Assumptions!$B$4),1,0)</f>
        <v/>
      </c>
      <c r="L1258" s="3">
        <f>I1258*K1258</f>
        <v/>
      </c>
      <c r="M1258">
        <f>SUM($K$2:K1258)</f>
        <v/>
      </c>
    </row>
    <row r="1259">
      <c r="A1259" t="inlineStr">
        <is>
          <t>050376</t>
        </is>
      </c>
      <c r="B1259" t="inlineStr">
        <is>
          <t>Lac/Harbor-Ucla Med Center</t>
        </is>
      </c>
      <c r="C1259" t="inlineStr">
        <is>
          <t>CA</t>
        </is>
      </c>
      <c r="D1259" t="inlineStr">
        <is>
          <t>Metropolitan</t>
        </is>
      </c>
      <c r="E1259" s="5" t="n">
        <v>706</v>
      </c>
      <c r="F1259" s="4" t="n">
        <v>0.6402266288951841</v>
      </c>
      <c r="G1259" s="4" t="n">
        <v>0.6489512335470614</v>
      </c>
      <c r="H1259" s="3" t="n">
        <v>10265741.84742446</v>
      </c>
      <c r="I1259" s="3" t="n">
        <v>-176889.2931704186</v>
      </c>
      <c r="J1259" s="4" t="n">
        <v>-0.0172310287750707</v>
      </c>
      <c r="K1259">
        <f>IF(AND(I1259&gt;0,J1259&gt;=Assumptions!$B$4),1,0)</f>
        <v/>
      </c>
      <c r="L1259" s="3">
        <f>I1259*K1259</f>
        <v/>
      </c>
      <c r="M1259">
        <f>SUM($K$2:K1259)</f>
        <v/>
      </c>
    </row>
    <row r="1260">
      <c r="A1260" t="inlineStr">
        <is>
          <t>520088</t>
        </is>
      </c>
      <c r="B1260" t="inlineStr">
        <is>
          <t>Ssm Health St Agnes Hospital-Fond Du Lac</t>
        </is>
      </c>
      <c r="C1260" t="inlineStr">
        <is>
          <t>WI</t>
        </is>
      </c>
      <c r="D1260" t="inlineStr">
        <is>
          <t>Metropolitan</t>
        </is>
      </c>
      <c r="E1260" s="5" t="n">
        <v>509</v>
      </c>
      <c r="F1260" s="4" t="n">
        <v>0.68762278978389</v>
      </c>
      <c r="G1260" s="4" t="n">
        <v>0.6473565535707884</v>
      </c>
      <c r="H1260" s="3" t="n">
        <v>8225138.532998198</v>
      </c>
      <c r="I1260" s="3" t="n">
        <v>-177843.7487873407</v>
      </c>
      <c r="J1260" s="4" t="n">
        <v>-0.0216219761009318</v>
      </c>
      <c r="K1260">
        <f>IF(AND(I1260&gt;0,J1260&gt;=Assumptions!$B$4),1,0)</f>
        <v/>
      </c>
      <c r="L1260" s="3">
        <f>I1260*K1260</f>
        <v/>
      </c>
      <c r="M1260">
        <f>SUM($K$2:K1260)</f>
        <v/>
      </c>
    </row>
    <row r="1261">
      <c r="A1261" t="inlineStr">
        <is>
          <t>450272</t>
        </is>
      </c>
      <c r="B1261" t="inlineStr">
        <is>
          <t>Christus Santa Rosa Hospital-San Marcos</t>
        </is>
      </c>
      <c r="C1261" t="inlineStr">
        <is>
          <t>TX</t>
        </is>
      </c>
      <c r="D1261" t="inlineStr">
        <is>
          <t>Micropolitan</t>
        </is>
      </c>
      <c r="E1261" s="5" t="n">
        <v>426</v>
      </c>
      <c r="F1261" s="4" t="n">
        <v>0.7230046948356808</v>
      </c>
      <c r="G1261" s="4" t="n">
        <v>0.6681651350871406</v>
      </c>
      <c r="H1261" s="3" t="n">
        <v>5636186.358922044</v>
      </c>
      <c r="I1261" s="3" t="n">
        <v>-178009.9676267793</v>
      </c>
      <c r="J1261" s="4" t="n">
        <v>-0.0315834069867102</v>
      </c>
      <c r="K1261">
        <f>IF(AND(I1261&gt;0,J1261&gt;=Assumptions!$B$4),1,0)</f>
        <v/>
      </c>
      <c r="L1261" s="3">
        <f>I1261*K1261</f>
        <v/>
      </c>
      <c r="M1261">
        <f>SUM($K$2:K1261)</f>
        <v/>
      </c>
    </row>
    <row r="1262">
      <c r="A1262" t="inlineStr">
        <is>
          <t>280013</t>
        </is>
      </c>
      <c r="B1262" t="inlineStr">
        <is>
          <t>The Nebraska Medical Center</t>
        </is>
      </c>
      <c r="C1262" t="inlineStr">
        <is>
          <t>NE</t>
        </is>
      </c>
      <c r="D1262" t="inlineStr">
        <is>
          <t>Metropolitan</t>
        </is>
      </c>
      <c r="E1262" s="5" t="n">
        <v>4578</v>
      </c>
      <c r="F1262" s="4" t="n">
        <v>0.4807776321537789</v>
      </c>
      <c r="G1262" s="4" t="n">
        <v>0.4833926354058506</v>
      </c>
      <c r="H1262" s="3" t="n">
        <v>95193112.06716992</v>
      </c>
      <c r="I1262" s="3" t="n">
        <v>-178582.9502595067</v>
      </c>
      <c r="J1262" s="4" t="n">
        <v>-0.0018760070595601</v>
      </c>
      <c r="K1262">
        <f>IF(AND(I1262&gt;0,J1262&gt;=Assumptions!$B$4),1,0)</f>
        <v/>
      </c>
      <c r="L1262" s="3">
        <f>I1262*K1262</f>
        <v/>
      </c>
      <c r="M1262">
        <f>SUM($K$2:K1262)</f>
        <v/>
      </c>
    </row>
    <row r="1263">
      <c r="A1263" t="inlineStr">
        <is>
          <t>050040</t>
        </is>
      </c>
      <c r="B1263" t="inlineStr">
        <is>
          <t>Lac/Olive View-Ucla Medical Center</t>
        </is>
      </c>
      <c r="C1263" t="inlineStr">
        <is>
          <t>CA</t>
        </is>
      </c>
      <c r="D1263" t="inlineStr">
        <is>
          <t>Metropolitan</t>
        </is>
      </c>
      <c r="E1263" s="5" t="n">
        <v>368</v>
      </c>
      <c r="F1263" s="4" t="n">
        <v>0.8125</v>
      </c>
      <c r="G1263" s="4" t="n">
        <v>0.7412621470881448</v>
      </c>
      <c r="H1263" s="3" t="n">
        <v>4919788.837410291</v>
      </c>
      <c r="I1263" s="3" t="n">
        <v>-179524.4723875374</v>
      </c>
      <c r="J1263" s="4" t="n">
        <v>-0.0364902800344651</v>
      </c>
      <c r="K1263">
        <f>IF(AND(I1263&gt;0,J1263&gt;=Assumptions!$B$4),1,0)</f>
        <v/>
      </c>
      <c r="L1263" s="3">
        <f>I1263*K1263</f>
        <v/>
      </c>
      <c r="M1263">
        <f>SUM($K$2:K1263)</f>
        <v/>
      </c>
    </row>
    <row r="1264">
      <c r="A1264" t="inlineStr">
        <is>
          <t>120001</t>
        </is>
      </c>
      <c r="B1264" t="inlineStr">
        <is>
          <t>The Queens Medical Center</t>
        </is>
      </c>
      <c r="C1264" t="inlineStr">
        <is>
          <t>HI</t>
        </is>
      </c>
      <c r="D1264" t="inlineStr">
        <is>
          <t>Metropolitan</t>
        </is>
      </c>
      <c r="E1264" s="5" t="n">
        <v>4324</v>
      </c>
      <c r="F1264" s="4" t="n">
        <v>0.6006012950971323</v>
      </c>
      <c r="G1264" s="4" t="n">
        <v>0.5732859276599552</v>
      </c>
      <c r="H1264" s="3" t="n">
        <v>77625410.39926794</v>
      </c>
      <c r="I1264" s="3" t="n">
        <v>-180052.3425855041</v>
      </c>
      <c r="J1264" s="4" t="n">
        <v>-0.0023195026172409</v>
      </c>
      <c r="K1264">
        <f>IF(AND(I1264&gt;0,J1264&gt;=Assumptions!$B$4),1,0)</f>
        <v/>
      </c>
      <c r="L1264" s="3">
        <f>I1264*K1264</f>
        <v/>
      </c>
      <c r="M1264">
        <f>SUM($K$2:K1264)</f>
        <v/>
      </c>
    </row>
    <row r="1265">
      <c r="A1265" t="inlineStr">
        <is>
          <t>450587</t>
        </is>
      </c>
      <c r="B1265" t="inlineStr">
        <is>
          <t>Hendrick Medical Center Brownwood</t>
        </is>
      </c>
      <c r="C1265" t="inlineStr">
        <is>
          <t>TX</t>
        </is>
      </c>
      <c r="D1265" t="inlineStr">
        <is>
          <t>Micropolitan</t>
        </is>
      </c>
      <c r="E1265" s="5" t="n">
        <v>474</v>
      </c>
      <c r="F1265" s="4" t="n">
        <v>0.7362869198312236</v>
      </c>
      <c r="G1265" s="4" t="n">
        <v>0.6797132523783465</v>
      </c>
      <c r="H1265" s="3" t="n">
        <v>6971791.256549513</v>
      </c>
      <c r="I1265" s="3" t="n">
        <v>-180258.6128230644</v>
      </c>
      <c r="J1265" s="4" t="n">
        <v>-0.025855423117226</v>
      </c>
      <c r="K1265">
        <f>IF(AND(I1265&gt;0,J1265&gt;=Assumptions!$B$4),1,0)</f>
        <v/>
      </c>
      <c r="L1265" s="3">
        <f>I1265*K1265</f>
        <v/>
      </c>
      <c r="M1265">
        <f>SUM($K$2:K1265)</f>
        <v/>
      </c>
    </row>
    <row r="1266">
      <c r="A1266" t="inlineStr">
        <is>
          <t>160146</t>
        </is>
      </c>
      <c r="B1266" t="inlineStr">
        <is>
          <t>St Lukes Regional Medical Center</t>
        </is>
      </c>
      <c r="C1266" t="inlineStr">
        <is>
          <t>IA</t>
        </is>
      </c>
      <c r="D1266" t="inlineStr">
        <is>
          <t>Metropolitan</t>
        </is>
      </c>
      <c r="E1266" s="5" t="n">
        <v>919</v>
      </c>
      <c r="F1266" s="4" t="n">
        <v>0.6605005440696409</v>
      </c>
      <c r="G1266" s="4" t="n">
        <v>0.6557824324547624</v>
      </c>
      <c r="H1266" s="3" t="n">
        <v>13233861.01970496</v>
      </c>
      <c r="I1266" s="3" t="n">
        <v>-181034.7684235666</v>
      </c>
      <c r="J1266" s="4" t="n">
        <v>-0.0136796637167346</v>
      </c>
      <c r="K1266">
        <f>IF(AND(I1266&gt;0,J1266&gt;=Assumptions!$B$4),1,0)</f>
        <v/>
      </c>
      <c r="L1266" s="3">
        <f>I1266*K1266</f>
        <v/>
      </c>
      <c r="M1266">
        <f>SUM($K$2:K1266)</f>
        <v/>
      </c>
    </row>
    <row r="1267">
      <c r="A1267" t="inlineStr">
        <is>
          <t>340071</t>
        </is>
      </c>
      <c r="B1267" t="inlineStr">
        <is>
          <t>Betsy Johnson Regional  Hospital</t>
        </is>
      </c>
      <c r="C1267" t="inlineStr">
        <is>
          <t>NC</t>
        </is>
      </c>
      <c r="D1267" t="inlineStr">
        <is>
          <t>Micropolitan</t>
        </is>
      </c>
      <c r="E1267" s="5" t="n">
        <v>496</v>
      </c>
      <c r="F1267" s="4" t="n">
        <v>0.7379032258064516</v>
      </c>
      <c r="G1267" s="4" t="n">
        <v>0.668901515881427</v>
      </c>
      <c r="H1267" s="3" t="n">
        <v>6087359.163256802</v>
      </c>
      <c r="I1267" s="3" t="n">
        <v>-181872.7103396142</v>
      </c>
      <c r="J1267" s="4" t="n">
        <v>-0.0298771118085811</v>
      </c>
      <c r="K1267">
        <f>IF(AND(I1267&gt;0,J1267&gt;=Assumptions!$B$4),1,0)</f>
        <v/>
      </c>
      <c r="L1267" s="3">
        <f>I1267*K1267</f>
        <v/>
      </c>
      <c r="M1267">
        <f>SUM($K$2:K1267)</f>
        <v/>
      </c>
    </row>
    <row r="1268">
      <c r="A1268" t="inlineStr">
        <is>
          <t>310070</t>
        </is>
      </c>
      <c r="B1268" t="inlineStr">
        <is>
          <t>Saint Peter's University Hospital</t>
        </is>
      </c>
      <c r="C1268" t="inlineStr">
        <is>
          <t>NJ</t>
        </is>
      </c>
      <c r="D1268" t="inlineStr">
        <is>
          <t>Metropolitan</t>
        </is>
      </c>
      <c r="E1268" s="5" t="n">
        <v>1357</v>
      </c>
      <c r="F1268" s="4" t="n">
        <v>0.5865880619012528</v>
      </c>
      <c r="G1268" s="4" t="n">
        <v>0.6075673914206204</v>
      </c>
      <c r="H1268" s="3" t="n">
        <v>18470305.4351506</v>
      </c>
      <c r="I1268" s="3" t="n">
        <v>-182178.0560642816</v>
      </c>
      <c r="J1268" s="4" t="n">
        <v>-0.009863294177993399</v>
      </c>
      <c r="K1268">
        <f>IF(AND(I1268&gt;0,J1268&gt;=Assumptions!$B$4),1,0)</f>
        <v/>
      </c>
      <c r="L1268" s="3">
        <f>I1268*K1268</f>
        <v/>
      </c>
      <c r="M1268">
        <f>SUM($K$2:K1268)</f>
        <v/>
      </c>
    </row>
    <row r="1269">
      <c r="A1269" t="inlineStr">
        <is>
          <t>130071</t>
        </is>
      </c>
      <c r="B1269" t="inlineStr">
        <is>
          <t>St Luke's Nampa Medical Center</t>
        </is>
      </c>
      <c r="C1269" t="inlineStr">
        <is>
          <t>ID</t>
        </is>
      </c>
      <c r="D1269" t="inlineStr">
        <is>
          <t>Metropolitan</t>
        </is>
      </c>
      <c r="E1269" s="5" t="n">
        <v>419</v>
      </c>
      <c r="F1269" s="4" t="n">
        <v>0.8186157517899761</v>
      </c>
      <c r="G1269" s="4" t="n">
        <v>0.7449206885219301</v>
      </c>
      <c r="H1269" s="3" t="n">
        <v>6174666.343555672</v>
      </c>
      <c r="I1269" s="3" t="n">
        <v>-182876.6085243421</v>
      </c>
      <c r="J1269" s="4" t="n">
        <v>-0.0296172454265816</v>
      </c>
      <c r="K1269">
        <f>IF(AND(I1269&gt;0,J1269&gt;=Assumptions!$B$4),1,0)</f>
        <v/>
      </c>
      <c r="L1269" s="3">
        <f>I1269*K1269</f>
        <v/>
      </c>
      <c r="M1269">
        <f>SUM($K$2:K1269)</f>
        <v/>
      </c>
    </row>
    <row r="1270">
      <c r="A1270" t="inlineStr">
        <is>
          <t>140008</t>
        </is>
      </c>
      <c r="B1270" t="inlineStr">
        <is>
          <t>Loyola Gottlieb Memorial Hospital</t>
        </is>
      </c>
      <c r="C1270" t="inlineStr">
        <is>
          <t>IL</t>
        </is>
      </c>
      <c r="D1270" t="inlineStr">
        <is>
          <t>Metropolitan</t>
        </is>
      </c>
      <c r="E1270" s="5" t="n">
        <v>862</v>
      </c>
      <c r="F1270" s="4" t="n">
        <v>0.7111368909512761</v>
      </c>
      <c r="G1270" s="4" t="n">
        <v>0.676004258498338</v>
      </c>
      <c r="H1270" s="3" t="n">
        <v>11196997.89579617</v>
      </c>
      <c r="I1270" s="3" t="n">
        <v>-183098.1975156851</v>
      </c>
      <c r="J1270" s="4" t="n">
        <v>-0.0163524365387643</v>
      </c>
      <c r="K1270">
        <f>IF(AND(I1270&gt;0,J1270&gt;=Assumptions!$B$4),1,0)</f>
        <v/>
      </c>
      <c r="L1270" s="3">
        <f>I1270*K1270</f>
        <v/>
      </c>
      <c r="M1270">
        <f>SUM($K$2:K1270)</f>
        <v/>
      </c>
    </row>
    <row r="1271">
      <c r="A1271" t="inlineStr">
        <is>
          <t>490045</t>
        </is>
      </c>
      <c r="B1271" t="inlineStr">
        <is>
          <t>Uva Health Prince William Medical Center</t>
        </is>
      </c>
      <c r="C1271" t="inlineStr">
        <is>
          <t>VA</t>
        </is>
      </c>
      <c r="D1271" t="inlineStr">
        <is>
          <t>Metropolitan</t>
        </is>
      </c>
      <c r="E1271" s="5" t="n">
        <v>882</v>
      </c>
      <c r="F1271" s="4" t="n">
        <v>0.7188208616780045</v>
      </c>
      <c r="G1271" s="4" t="n">
        <v>0.6863815595328859</v>
      </c>
      <c r="H1271" s="3" t="n">
        <v>12083401.7516432</v>
      </c>
      <c r="I1271" s="3" t="n">
        <v>-184283.6897503603</v>
      </c>
      <c r="J1271" s="4" t="n">
        <v>-0.015250977625179</v>
      </c>
      <c r="K1271">
        <f>IF(AND(I1271&gt;0,J1271&gt;=Assumptions!$B$4),1,0)</f>
        <v/>
      </c>
      <c r="L1271" s="3">
        <f>I1271*K1271</f>
        <v/>
      </c>
      <c r="M1271">
        <f>SUM($K$2:K1271)</f>
        <v/>
      </c>
    </row>
    <row r="1272">
      <c r="A1272" t="inlineStr">
        <is>
          <t>380060</t>
        </is>
      </c>
      <c r="B1272" t="inlineStr">
        <is>
          <t>Adventist Health Portland</t>
        </is>
      </c>
      <c r="C1272" t="inlineStr">
        <is>
          <t>OR</t>
        </is>
      </c>
      <c r="D1272" t="inlineStr">
        <is>
          <t>Metropolitan</t>
        </is>
      </c>
      <c r="E1272" s="5" t="n">
        <v>677</v>
      </c>
      <c r="F1272" s="4" t="n">
        <v>0.7621861152141802</v>
      </c>
      <c r="G1272" s="4" t="n">
        <v>0.7151350238866312</v>
      </c>
      <c r="H1272" s="3" t="n">
        <v>12300215.84414777</v>
      </c>
      <c r="I1272" s="3" t="n">
        <v>-184348.9568936788</v>
      </c>
      <c r="J1272" s="4" t="n">
        <v>-0.0149874570681935</v>
      </c>
      <c r="K1272">
        <f>IF(AND(I1272&gt;0,J1272&gt;=Assumptions!$B$4),1,0)</f>
        <v/>
      </c>
      <c r="L1272" s="3">
        <f>I1272*K1272</f>
        <v/>
      </c>
      <c r="M1272">
        <f>SUM($K$2:K1272)</f>
        <v/>
      </c>
    </row>
    <row r="1273">
      <c r="A1273" t="inlineStr">
        <is>
          <t>010001</t>
        </is>
      </c>
      <c r="B1273" t="inlineStr">
        <is>
          <t>Southeast Health Medical Center</t>
        </is>
      </c>
      <c r="C1273" t="inlineStr">
        <is>
          <t>AL</t>
        </is>
      </c>
      <c r="D1273" t="inlineStr">
        <is>
          <t>Metropolitan</t>
        </is>
      </c>
      <c r="E1273" s="5" t="n">
        <v>2534</v>
      </c>
      <c r="F1273" s="4" t="n">
        <v>0.590765588003157</v>
      </c>
      <c r="G1273" s="4" t="n">
        <v>0.5732225802009752</v>
      </c>
      <c r="H1273" s="3" t="n">
        <v>43437125.40811107</v>
      </c>
      <c r="I1273" s="3" t="n">
        <v>-184457.2377506047</v>
      </c>
      <c r="J1273" s="4" t="n">
        <v>-0.0042465341805551</v>
      </c>
      <c r="K1273">
        <f>IF(AND(I1273&gt;0,J1273&gt;=Assumptions!$B$4),1,0)</f>
        <v/>
      </c>
      <c r="L1273" s="3">
        <f>I1273*K1273</f>
        <v/>
      </c>
      <c r="M1273">
        <f>SUM($K$2:K1273)</f>
        <v/>
      </c>
    </row>
    <row r="1274">
      <c r="A1274" t="inlineStr">
        <is>
          <t>030088</t>
        </is>
      </c>
      <c r="B1274" t="inlineStr">
        <is>
          <t>Banner Baywood Medical Center</t>
        </is>
      </c>
      <c r="C1274" t="inlineStr">
        <is>
          <t>AZ</t>
        </is>
      </c>
      <c r="D1274" t="inlineStr">
        <is>
          <t>Metropolitan</t>
        </is>
      </c>
      <c r="E1274" s="5" t="n">
        <v>2388</v>
      </c>
      <c r="F1274" s="4" t="n">
        <v>0.644891122278057</v>
      </c>
      <c r="G1274" s="4" t="n">
        <v>0.6299840664985159</v>
      </c>
      <c r="H1274" s="3" t="n">
        <v>37176713.02263013</v>
      </c>
      <c r="I1274" s="3" t="n">
        <v>-185514.2418520749</v>
      </c>
      <c r="J1274" s="4" t="n">
        <v>-0.0049900657365579</v>
      </c>
      <c r="K1274">
        <f>IF(AND(I1274&gt;0,J1274&gt;=Assumptions!$B$4),1,0)</f>
        <v/>
      </c>
      <c r="L1274" s="3">
        <f>I1274*K1274</f>
        <v/>
      </c>
      <c r="M1274">
        <f>SUM($K$2:K1274)</f>
        <v/>
      </c>
    </row>
    <row r="1275">
      <c r="A1275" t="inlineStr">
        <is>
          <t>310014</t>
        </is>
      </c>
      <c r="B1275" t="inlineStr">
        <is>
          <t>Cooper University Hospital</t>
        </is>
      </c>
      <c r="C1275" t="inlineStr">
        <is>
          <t>NJ</t>
        </is>
      </c>
      <c r="D1275" t="inlineStr">
        <is>
          <t>Metropolitan</t>
        </is>
      </c>
      <c r="E1275" s="5" t="n">
        <v>4303</v>
      </c>
      <c r="F1275" s="4" t="n">
        <v>0.491052753892633</v>
      </c>
      <c r="G1275" s="4" t="n">
        <v>0.489808699215311</v>
      </c>
      <c r="H1275" s="3" t="n">
        <v>88138993.46954878</v>
      </c>
      <c r="I1275" s="3" t="n">
        <v>-185954.0813147873</v>
      </c>
      <c r="J1275" s="4" t="n">
        <v>-0.0021097822200458</v>
      </c>
      <c r="K1275">
        <f>IF(AND(I1275&gt;0,J1275&gt;=Assumptions!$B$4),1,0)</f>
        <v/>
      </c>
      <c r="L1275" s="3">
        <f>I1275*K1275</f>
        <v/>
      </c>
      <c r="M1275">
        <f>SUM($K$2:K1275)</f>
        <v/>
      </c>
    </row>
    <row r="1276">
      <c r="A1276" t="inlineStr">
        <is>
          <t>380025</t>
        </is>
      </c>
      <c r="B1276" t="inlineStr">
        <is>
          <t>Legacy Mount Hood Medical Center</t>
        </is>
      </c>
      <c r="C1276" t="inlineStr">
        <is>
          <t>OR</t>
        </is>
      </c>
      <c r="D1276" t="inlineStr">
        <is>
          <t>Metropolitan</t>
        </is>
      </c>
      <c r="E1276" s="5" t="n">
        <v>335</v>
      </c>
      <c r="F1276" s="4" t="n">
        <v>0.8776119402985074</v>
      </c>
      <c r="G1276" s="4" t="n">
        <v>0.7941904269108089</v>
      </c>
      <c r="H1276" s="3" t="n">
        <v>4788106.70329452</v>
      </c>
      <c r="I1276" s="3" t="n">
        <v>-186193.394784268</v>
      </c>
      <c r="J1276" s="4" t="n">
        <v>-0.0388866427425594</v>
      </c>
      <c r="K1276">
        <f>IF(AND(I1276&gt;0,J1276&gt;=Assumptions!$B$4),1,0)</f>
        <v/>
      </c>
      <c r="L1276" s="3">
        <f>I1276*K1276</f>
        <v/>
      </c>
      <c r="M1276">
        <f>SUM($K$2:K1276)</f>
        <v/>
      </c>
    </row>
    <row r="1277">
      <c r="A1277" t="inlineStr">
        <is>
          <t>390058</t>
        </is>
      </c>
      <c r="B1277" t="inlineStr">
        <is>
          <t>Upmc Carlisle</t>
        </is>
      </c>
      <c r="C1277" t="inlineStr">
        <is>
          <t>PA</t>
        </is>
      </c>
      <c r="D1277" t="inlineStr">
        <is>
          <t>Metropolitan</t>
        </is>
      </c>
      <c r="E1277" s="5" t="n">
        <v>831</v>
      </c>
      <c r="F1277" s="4" t="n">
        <v>0.6979542719614922</v>
      </c>
      <c r="G1277" s="4" t="n">
        <v>0.6628042151154462</v>
      </c>
      <c r="H1277" s="3" t="n">
        <v>11115707.1974688</v>
      </c>
      <c r="I1277" s="3" t="n">
        <v>-187147.6932854466</v>
      </c>
      <c r="J1277" s="4" t="n">
        <v>-0.0168363280860854</v>
      </c>
      <c r="K1277">
        <f>IF(AND(I1277&gt;0,J1277&gt;=Assumptions!$B$4),1,0)</f>
        <v/>
      </c>
      <c r="L1277" s="3">
        <f>I1277*K1277</f>
        <v/>
      </c>
      <c r="M1277">
        <f>SUM($K$2:K1277)</f>
        <v/>
      </c>
    </row>
    <row r="1278">
      <c r="A1278" t="inlineStr">
        <is>
          <t>260078</t>
        </is>
      </c>
      <c r="B1278" t="inlineStr">
        <is>
          <t>Ozarks Healthcare</t>
        </is>
      </c>
      <c r="C1278" t="inlineStr">
        <is>
          <t>MO</t>
        </is>
      </c>
      <c r="D1278" t="inlineStr">
        <is>
          <t>Micropolitan</t>
        </is>
      </c>
      <c r="E1278" s="5" t="n">
        <v>499</v>
      </c>
      <c r="F1278" s="4" t="n">
        <v>0.6392785571142284</v>
      </c>
      <c r="G1278" s="4" t="n">
        <v>0.5835723358474277</v>
      </c>
      <c r="H1278" s="3" t="n">
        <v>5988905.644994898</v>
      </c>
      <c r="I1278" s="3" t="n">
        <v>-187413.7212782185</v>
      </c>
      <c r="J1278" s="4" t="n">
        <v>-0.031293483715985</v>
      </c>
      <c r="K1278">
        <f>IF(AND(I1278&gt;0,J1278&gt;=Assumptions!$B$4),1,0)</f>
        <v/>
      </c>
      <c r="L1278" s="3">
        <f>I1278*K1278</f>
        <v/>
      </c>
      <c r="M1278">
        <f>SUM($K$2:K1278)</f>
        <v/>
      </c>
    </row>
    <row r="1279">
      <c r="A1279" t="inlineStr">
        <is>
          <t>110003</t>
        </is>
      </c>
      <c r="B1279" t="inlineStr">
        <is>
          <t>Memorial Satilla Health</t>
        </is>
      </c>
      <c r="C1279" t="inlineStr">
        <is>
          <t>GA</t>
        </is>
      </c>
      <c r="D1279" t="inlineStr">
        <is>
          <t>Micropolitan</t>
        </is>
      </c>
      <c r="E1279" s="5" t="n">
        <v>749</v>
      </c>
      <c r="F1279" s="4" t="n">
        <v>0.7182910547396528</v>
      </c>
      <c r="G1279" s="4" t="n">
        <v>0.6730721388192805</v>
      </c>
      <c r="H1279" s="3" t="n">
        <v>10326763.01034039</v>
      </c>
      <c r="I1279" s="3" t="n">
        <v>-188069.0739731752</v>
      </c>
      <c r="J1279" s="4" t="n">
        <v>-0.018211812722424</v>
      </c>
      <c r="K1279">
        <f>IF(AND(I1279&gt;0,J1279&gt;=Assumptions!$B$4),1,0)</f>
        <v/>
      </c>
      <c r="L1279" s="3">
        <f>I1279*K1279</f>
        <v/>
      </c>
      <c r="M1279">
        <f>SUM($K$2:K1279)</f>
        <v/>
      </c>
    </row>
    <row r="1280">
      <c r="A1280" t="inlineStr">
        <is>
          <t>100319</t>
        </is>
      </c>
      <c r="B1280" t="inlineStr">
        <is>
          <t>Adventhealth Wesley Chapel</t>
        </is>
      </c>
      <c r="C1280" t="inlineStr">
        <is>
          <t>FL</t>
        </is>
      </c>
      <c r="D1280" t="inlineStr">
        <is>
          <t>Metropolitan</t>
        </is>
      </c>
      <c r="E1280" s="5" t="n">
        <v>1669</v>
      </c>
      <c r="F1280" s="4" t="n">
        <v>0.6117435590173756</v>
      </c>
      <c r="G1280" s="4" t="n">
        <v>0.6057288518624684</v>
      </c>
      <c r="H1280" s="3" t="n">
        <v>24112746.70826443</v>
      </c>
      <c r="I1280" s="3" t="n">
        <v>-188630.8083302341</v>
      </c>
      <c r="J1280" s="4" t="n">
        <v>-0.0078228669098731</v>
      </c>
      <c r="K1280">
        <f>IF(AND(I1280&gt;0,J1280&gt;=Assumptions!$B$4),1,0)</f>
        <v/>
      </c>
      <c r="L1280" s="3">
        <f>I1280*K1280</f>
        <v/>
      </c>
      <c r="M1280">
        <f>SUM($K$2:K1280)</f>
        <v/>
      </c>
    </row>
    <row r="1281">
      <c r="A1281" t="inlineStr">
        <is>
          <t>230030</t>
        </is>
      </c>
      <c r="B1281" t="inlineStr">
        <is>
          <t>Mymichigan Medical Center Alma</t>
        </is>
      </c>
      <c r="C1281" t="inlineStr">
        <is>
          <t>MI</t>
        </is>
      </c>
      <c r="D1281" t="inlineStr">
        <is>
          <t>Micropolitan</t>
        </is>
      </c>
      <c r="E1281" s="5" t="n">
        <v>410</v>
      </c>
      <c r="F1281" s="4" t="n">
        <v>0.7658536585365854</v>
      </c>
      <c r="G1281" s="4" t="n">
        <v>0.6788446140420701</v>
      </c>
      <c r="H1281" s="3" t="n">
        <v>5262266.476912448</v>
      </c>
      <c r="I1281" s="3" t="n">
        <v>-189636.4090356724</v>
      </c>
      <c r="J1281" s="4" t="n">
        <v>-0.0360370212849689</v>
      </c>
      <c r="K1281">
        <f>IF(AND(I1281&gt;0,J1281&gt;=Assumptions!$B$4),1,0)</f>
        <v/>
      </c>
      <c r="L1281" s="3">
        <f>I1281*K1281</f>
        <v/>
      </c>
      <c r="M1281">
        <f>SUM($K$2:K1281)</f>
        <v/>
      </c>
    </row>
    <row r="1282">
      <c r="A1282" t="inlineStr">
        <is>
          <t>470001</t>
        </is>
      </c>
      <c r="B1282" t="inlineStr">
        <is>
          <t>Central Vermont Medical Center</t>
        </is>
      </c>
      <c r="C1282" t="inlineStr">
        <is>
          <t>VT</t>
        </is>
      </c>
      <c r="D1282" t="inlineStr">
        <is>
          <t>Micropolitan</t>
        </is>
      </c>
      <c r="E1282" s="5" t="n">
        <v>1078</v>
      </c>
      <c r="F1282" s="4" t="n">
        <v>0.7161410018552876</v>
      </c>
      <c r="G1282" s="4" t="n">
        <v>0.6763137093494543</v>
      </c>
      <c r="H1282" s="3" t="n">
        <v>15823499.38037614</v>
      </c>
      <c r="I1282" s="3" t="n">
        <v>-189883.3113280814</v>
      </c>
      <c r="J1282" s="4" t="n">
        <v>-0.0120000833420936</v>
      </c>
      <c r="K1282">
        <f>IF(AND(I1282&gt;0,J1282&gt;=Assumptions!$B$4),1,0)</f>
        <v/>
      </c>
      <c r="L1282" s="3">
        <f>I1282*K1282</f>
        <v/>
      </c>
      <c r="M1282">
        <f>SUM($K$2:K1282)</f>
        <v/>
      </c>
    </row>
    <row r="1283">
      <c r="A1283" t="inlineStr">
        <is>
          <t>030062</t>
        </is>
      </c>
      <c r="B1283" t="inlineStr">
        <is>
          <t>Summit Healthcare Regional Medical Center</t>
        </is>
      </c>
      <c r="C1283" t="inlineStr">
        <is>
          <t>AZ</t>
        </is>
      </c>
      <c r="D1283" t="inlineStr">
        <is>
          <t>Small town</t>
        </is>
      </c>
      <c r="E1283" s="5" t="n">
        <v>800</v>
      </c>
      <c r="F1283" s="4" t="n">
        <v>0.76625</v>
      </c>
      <c r="G1283" s="4" t="n">
        <v>0.6950395333463741</v>
      </c>
      <c r="H1283" s="3" t="n">
        <v>12733000.30401838</v>
      </c>
      <c r="I1283" s="3" t="n">
        <v>-190253.0343529172</v>
      </c>
      <c r="J1283" s="4" t="n">
        <v>-0.0149417285643883</v>
      </c>
      <c r="K1283">
        <f>IF(AND(I1283&gt;0,J1283&gt;=Assumptions!$B$4),1,0)</f>
        <v/>
      </c>
      <c r="L1283" s="3">
        <f>I1283*K1283</f>
        <v/>
      </c>
      <c r="M1283">
        <f>SUM($K$2:K1283)</f>
        <v/>
      </c>
    </row>
    <row r="1284">
      <c r="A1284" t="inlineStr">
        <is>
          <t>220086</t>
        </is>
      </c>
      <c r="B1284" t="inlineStr">
        <is>
          <t>Beth Israel Deaconess Medical Center</t>
        </is>
      </c>
      <c r="C1284" t="inlineStr">
        <is>
          <t>MA</t>
        </is>
      </c>
      <c r="D1284" t="inlineStr">
        <is>
          <t>Metropolitan</t>
        </is>
      </c>
      <c r="E1284" s="5" t="n">
        <v>7741</v>
      </c>
      <c r="F1284" s="4" t="n">
        <v>0.5212504844335357</v>
      </c>
      <c r="G1284" s="4" t="n">
        <v>0.524406881018152</v>
      </c>
      <c r="H1284" s="3" t="n">
        <v>160006091.6008496</v>
      </c>
      <c r="I1284" s="3" t="n">
        <v>-190277.0072872639</v>
      </c>
      <c r="J1284" s="4" t="n">
        <v>-0.0011891860202543</v>
      </c>
      <c r="K1284">
        <f>IF(AND(I1284&gt;0,J1284&gt;=Assumptions!$B$4),1,0)</f>
        <v/>
      </c>
      <c r="L1284" s="3">
        <f>I1284*K1284</f>
        <v/>
      </c>
      <c r="M1284">
        <f>SUM($K$2:K1284)</f>
        <v/>
      </c>
    </row>
    <row r="1285">
      <c r="A1285" t="inlineStr">
        <is>
          <t>140202</t>
        </is>
      </c>
      <c r="B1285" t="inlineStr">
        <is>
          <t>Advocate Condell Medical Center</t>
        </is>
      </c>
      <c r="C1285" t="inlineStr">
        <is>
          <t>IL</t>
        </is>
      </c>
      <c r="D1285" t="inlineStr">
        <is>
          <t>Metropolitan</t>
        </is>
      </c>
      <c r="E1285" s="5" t="n">
        <v>3775</v>
      </c>
      <c r="F1285" s="4" t="n">
        <v>0.5790728476821192</v>
      </c>
      <c r="G1285" s="4" t="n">
        <v>0.5820318793238788</v>
      </c>
      <c r="H1285" s="3" t="n">
        <v>56321743.79399572</v>
      </c>
      <c r="I1285" s="3" t="n">
        <v>-190782.24916064</v>
      </c>
      <c r="J1285" s="4" t="n">
        <v>-0.0033873640322368</v>
      </c>
      <c r="K1285">
        <f>IF(AND(I1285&gt;0,J1285&gt;=Assumptions!$B$4),1,0)</f>
        <v/>
      </c>
      <c r="L1285" s="3">
        <f>I1285*K1285</f>
        <v/>
      </c>
      <c r="M1285">
        <f>SUM($K$2:K1285)</f>
        <v/>
      </c>
    </row>
    <row r="1286">
      <c r="A1286" t="inlineStr">
        <is>
          <t>250167</t>
        </is>
      </c>
      <c r="B1286" t="inlineStr">
        <is>
          <t>Methodist Healthcare - Olive Branch Hospital</t>
        </is>
      </c>
      <c r="C1286" t="inlineStr">
        <is>
          <t>MS</t>
        </is>
      </c>
      <c r="D1286" t="inlineStr">
        <is>
          <t>Metropolitan</t>
        </is>
      </c>
      <c r="E1286" s="5" t="n">
        <v>633</v>
      </c>
      <c r="F1286" s="4" t="n">
        <v>0.8341232227488151</v>
      </c>
      <c r="G1286" s="4" t="n">
        <v>0.7799681393101933</v>
      </c>
      <c r="H1286" s="3" t="n">
        <v>9293536.743801782</v>
      </c>
      <c r="I1286" s="3" t="n">
        <v>-190794.050939316</v>
      </c>
      <c r="J1286" s="4" t="n">
        <v>-0.0205297569912298</v>
      </c>
      <c r="K1286">
        <f>IF(AND(I1286&gt;0,J1286&gt;=Assumptions!$B$4),1,0)</f>
        <v/>
      </c>
      <c r="L1286" s="3">
        <f>I1286*K1286</f>
        <v/>
      </c>
      <c r="M1286">
        <f>SUM($K$2:K1286)</f>
        <v/>
      </c>
    </row>
    <row r="1287">
      <c r="A1287" t="inlineStr">
        <is>
          <t>050441</t>
        </is>
      </c>
      <c r="B1287" t="inlineStr">
        <is>
          <t>Stanford Health Care</t>
        </is>
      </c>
      <c r="C1287" t="inlineStr">
        <is>
          <t>CA</t>
        </is>
      </c>
      <c r="D1287" t="inlineStr">
        <is>
          <t>Metropolitan</t>
        </is>
      </c>
      <c r="E1287" s="5" t="n">
        <v>9227</v>
      </c>
      <c r="F1287" s="4" t="n">
        <v>0.4867237455294245</v>
      </c>
      <c r="G1287" s="4" t="n">
        <v>0.5022672792029517</v>
      </c>
      <c r="H1287" s="3" t="n">
        <v>195856400.9730428</v>
      </c>
      <c r="I1287" s="3" t="n">
        <v>-191755.0821427107</v>
      </c>
      <c r="J1287" s="4" t="n">
        <v>-0.0009790595619547</v>
      </c>
      <c r="K1287">
        <f>IF(AND(I1287&gt;0,J1287&gt;=Assumptions!$B$4),1,0)</f>
        <v/>
      </c>
      <c r="L1287" s="3">
        <f>I1287*K1287</f>
        <v/>
      </c>
      <c r="M1287">
        <f>SUM($K$2:K1287)</f>
        <v/>
      </c>
    </row>
    <row r="1288">
      <c r="A1288" t="inlineStr">
        <is>
          <t>520096</t>
        </is>
      </c>
      <c r="B1288" t="inlineStr">
        <is>
          <t>Ascension All Saints Hospital</t>
        </is>
      </c>
      <c r="C1288" t="inlineStr">
        <is>
          <t>WI</t>
        </is>
      </c>
      <c r="D1288" t="inlineStr">
        <is>
          <t>Metropolitan</t>
        </is>
      </c>
      <c r="E1288" s="5" t="n">
        <v>725</v>
      </c>
      <c r="F1288" s="4" t="n">
        <v>0.6813793103448276</v>
      </c>
      <c r="G1288" s="4" t="n">
        <v>0.6526650785644595</v>
      </c>
      <c r="H1288" s="3" t="n">
        <v>9647568.155184267</v>
      </c>
      <c r="I1288" s="3" t="n">
        <v>-194174.3465469163</v>
      </c>
      <c r="J1288" s="4" t="n">
        <v>-0.0201267659811839</v>
      </c>
      <c r="K1288">
        <f>IF(AND(I1288&gt;0,J1288&gt;=Assumptions!$B$4),1,0)</f>
        <v/>
      </c>
      <c r="L1288" s="3">
        <f>I1288*K1288</f>
        <v/>
      </c>
      <c r="M1288">
        <f>SUM($K$2:K1288)</f>
        <v/>
      </c>
    </row>
    <row r="1289">
      <c r="A1289" t="inlineStr">
        <is>
          <t>520045</t>
        </is>
      </c>
      <c r="B1289" t="inlineStr">
        <is>
          <t>Thedacare Regional Medical Center - Neenah Inc</t>
        </is>
      </c>
      <c r="C1289" t="inlineStr">
        <is>
          <t>WI</t>
        </is>
      </c>
      <c r="D1289" t="inlineStr">
        <is>
          <t>Metropolitan</t>
        </is>
      </c>
      <c r="E1289" s="5" t="n">
        <v>412</v>
      </c>
      <c r="F1289" s="4" t="n">
        <v>0.5728155339805825</v>
      </c>
      <c r="G1289" s="4" t="n">
        <v>0.5711149320914451</v>
      </c>
      <c r="H1289" s="3" t="n">
        <v>8312324.229011223</v>
      </c>
      <c r="I1289" s="3" t="n">
        <v>-196423.9134907443</v>
      </c>
      <c r="J1289" s="4" t="n">
        <v>-0.0236304441548605</v>
      </c>
      <c r="K1289">
        <f>IF(AND(I1289&gt;0,J1289&gt;=Assumptions!$B$4),1,0)</f>
        <v/>
      </c>
      <c r="L1289" s="3">
        <f>I1289*K1289</f>
        <v/>
      </c>
      <c r="M1289">
        <f>SUM($K$2:K1289)</f>
        <v/>
      </c>
    </row>
    <row r="1290">
      <c r="A1290" t="inlineStr">
        <is>
          <t>140124</t>
        </is>
      </c>
      <c r="B1290" t="inlineStr">
        <is>
          <t>John H Stroger Jr Hospital</t>
        </is>
      </c>
      <c r="C1290" t="inlineStr">
        <is>
          <t>IL</t>
        </is>
      </c>
      <c r="D1290" t="inlineStr">
        <is>
          <t>Metropolitan</t>
        </is>
      </c>
      <c r="E1290" s="5" t="n">
        <v>424</v>
      </c>
      <c r="F1290" s="4" t="n">
        <v>0.7216981132075472</v>
      </c>
      <c r="G1290" s="4" t="n">
        <v>0.6761188798842982</v>
      </c>
      <c r="H1290" s="3" t="n">
        <v>6244869.943136869</v>
      </c>
      <c r="I1290" s="3" t="n">
        <v>-198243.6437445283</v>
      </c>
      <c r="J1290" s="4" t="n">
        <v>-0.0317450396164612</v>
      </c>
      <c r="K1290">
        <f>IF(AND(I1290&gt;0,J1290&gt;=Assumptions!$B$4),1,0)</f>
        <v/>
      </c>
      <c r="L1290" s="3">
        <f>I1290*K1290</f>
        <v/>
      </c>
      <c r="M1290">
        <f>SUM($K$2:K1290)</f>
        <v/>
      </c>
    </row>
    <row r="1291">
      <c r="A1291" t="inlineStr">
        <is>
          <t>060065</t>
        </is>
      </c>
      <c r="B1291" t="inlineStr">
        <is>
          <t>North Suburban Medical Center</t>
        </is>
      </c>
      <c r="C1291" t="inlineStr">
        <is>
          <t>CO</t>
        </is>
      </c>
      <c r="D1291" t="inlineStr">
        <is>
          <t>Metropolitan</t>
        </is>
      </c>
      <c r="E1291" s="5" t="n">
        <v>338</v>
      </c>
      <c r="F1291" s="4" t="n">
        <v>0.8284023668639053</v>
      </c>
      <c r="G1291" s="4" t="n">
        <v>0.758494419227321</v>
      </c>
      <c r="H1291" s="3" t="n">
        <v>5176380.738667561</v>
      </c>
      <c r="I1291" s="3" t="n">
        <v>-200298.186690812</v>
      </c>
      <c r="J1291" s="4" t="n">
        <v>-0.0386946395180294</v>
      </c>
      <c r="K1291">
        <f>IF(AND(I1291&gt;0,J1291&gt;=Assumptions!$B$4),1,0)</f>
        <v/>
      </c>
      <c r="L1291" s="3">
        <f>I1291*K1291</f>
        <v/>
      </c>
      <c r="M1291">
        <f>SUM($K$2:K1291)</f>
        <v/>
      </c>
    </row>
    <row r="1292">
      <c r="A1292" t="inlineStr">
        <is>
          <t>050121</t>
        </is>
      </c>
      <c r="B1292" t="inlineStr">
        <is>
          <t>Adventist Health Hanford</t>
        </is>
      </c>
      <c r="C1292" t="inlineStr">
        <is>
          <t>CA</t>
        </is>
      </c>
      <c r="D1292" t="inlineStr">
        <is>
          <t>Metropolitan</t>
        </is>
      </c>
      <c r="E1292" s="5" t="n">
        <v>1201</v>
      </c>
      <c r="F1292" s="4" t="n">
        <v>0.7527060782681099</v>
      </c>
      <c r="G1292" s="4" t="n">
        <v>0.693164296403981</v>
      </c>
      <c r="H1292" s="3" t="n">
        <v>18158039.8536785</v>
      </c>
      <c r="I1292" s="3" t="n">
        <v>-200704.3460166864</v>
      </c>
      <c r="J1292" s="4" t="n">
        <v>-0.0110531944876212</v>
      </c>
      <c r="K1292">
        <f>IF(AND(I1292&gt;0,J1292&gt;=Assumptions!$B$4),1,0)</f>
        <v/>
      </c>
      <c r="L1292" s="3">
        <f>I1292*K1292</f>
        <v/>
      </c>
      <c r="M1292">
        <f>SUM($K$2:K1292)</f>
        <v/>
      </c>
    </row>
    <row r="1293">
      <c r="A1293" t="inlineStr">
        <is>
          <t>230230</t>
        </is>
      </c>
      <c r="B1293" t="inlineStr">
        <is>
          <t>Edward W Sparrow Hospital</t>
        </is>
      </c>
      <c r="C1293" t="inlineStr">
        <is>
          <t>MI</t>
        </is>
      </c>
      <c r="D1293" t="inlineStr">
        <is>
          <t>Metropolitan</t>
        </is>
      </c>
      <c r="E1293" s="5" t="n">
        <v>2270</v>
      </c>
      <c r="F1293" s="4" t="n">
        <v>0.5977973568281938</v>
      </c>
      <c r="G1293" s="4" t="n">
        <v>0.590990090462316</v>
      </c>
      <c r="H1293" s="3" t="n">
        <v>35547159.39511535</v>
      </c>
      <c r="I1293" s="3" t="n">
        <v>-200892.0193301961</v>
      </c>
      <c r="J1293" s="4" t="n">
        <v>-0.005651422581963</v>
      </c>
      <c r="K1293">
        <f>IF(AND(I1293&gt;0,J1293&gt;=Assumptions!$B$4),1,0)</f>
        <v/>
      </c>
      <c r="L1293" s="3">
        <f>I1293*K1293</f>
        <v/>
      </c>
      <c r="M1293">
        <f>SUM($K$2:K1293)</f>
        <v/>
      </c>
    </row>
    <row r="1294">
      <c r="A1294" t="inlineStr">
        <is>
          <t>100321</t>
        </is>
      </c>
      <c r="B1294" t="inlineStr">
        <is>
          <t>Ascension St Vincent's Clay County</t>
        </is>
      </c>
      <c r="C1294" t="inlineStr">
        <is>
          <t>FL</t>
        </is>
      </c>
      <c r="D1294" t="inlineStr">
        <is>
          <t>Metropolitan</t>
        </is>
      </c>
      <c r="E1294" s="5" t="n">
        <v>1111</v>
      </c>
      <c r="F1294" s="4" t="n">
        <v>0.7173717371737174</v>
      </c>
      <c r="G1294" s="4" t="n">
        <v>0.6670039807656267</v>
      </c>
      <c r="H1294" s="3" t="n">
        <v>14886875.80015683</v>
      </c>
      <c r="I1294" s="3" t="n">
        <v>-201735.5149068591</v>
      </c>
      <c r="J1294" s="4" t="n">
        <v>-0.0135512324825557</v>
      </c>
      <c r="K1294">
        <f>IF(AND(I1294&gt;0,J1294&gt;=Assumptions!$B$4),1,0)</f>
        <v/>
      </c>
      <c r="L1294" s="3">
        <f>I1294*K1294</f>
        <v/>
      </c>
      <c r="M1294">
        <f>SUM($K$2:K1294)</f>
        <v/>
      </c>
    </row>
    <row r="1295">
      <c r="A1295" t="inlineStr">
        <is>
          <t>070018</t>
        </is>
      </c>
      <c r="B1295" t="inlineStr">
        <is>
          <t>Greenwich Hospital Association -</t>
        </is>
      </c>
      <c r="C1295" t="inlineStr">
        <is>
          <t>CT</t>
        </is>
      </c>
      <c r="D1295" t="inlineStr">
        <is>
          <t>Metropolitan</t>
        </is>
      </c>
      <c r="E1295" s="5" t="n">
        <v>1991</v>
      </c>
      <c r="F1295" s="4" t="n">
        <v>0.6157709693621296</v>
      </c>
      <c r="G1295" s="4" t="n">
        <v>0.6077917512152383</v>
      </c>
      <c r="H1295" s="3" t="n">
        <v>28214044.70656244</v>
      </c>
      <c r="I1295" s="3" t="n">
        <v>-202451.3966852725</v>
      </c>
      <c r="J1295" s="4" t="n">
        <v>-0.0071755538346539</v>
      </c>
      <c r="K1295">
        <f>IF(AND(I1295&gt;0,J1295&gt;=Assumptions!$B$4),1,0)</f>
        <v/>
      </c>
      <c r="L1295" s="3">
        <f>I1295*K1295</f>
        <v/>
      </c>
      <c r="M1295">
        <f>SUM($K$2:K1295)</f>
        <v/>
      </c>
    </row>
    <row r="1296">
      <c r="A1296" t="inlineStr">
        <is>
          <t>180056</t>
        </is>
      </c>
      <c r="B1296" t="inlineStr">
        <is>
          <t>Deaconess Henderson Hospital</t>
        </is>
      </c>
      <c r="C1296" t="inlineStr">
        <is>
          <t>KY</t>
        </is>
      </c>
      <c r="D1296" t="inlineStr">
        <is>
          <t>Metropolitan</t>
        </is>
      </c>
      <c r="E1296" s="5" t="n">
        <v>580</v>
      </c>
      <c r="F1296" s="4" t="n">
        <v>0.753448275862069</v>
      </c>
      <c r="G1296" s="4" t="n">
        <v>0.7119543760335231</v>
      </c>
      <c r="H1296" s="3" t="n">
        <v>7860109.833386963</v>
      </c>
      <c r="I1296" s="3" t="n">
        <v>-202531.6075655716</v>
      </c>
      <c r="J1296" s="4" t="n">
        <v>-0.0257670200364489</v>
      </c>
      <c r="K1296">
        <f>IF(AND(I1296&gt;0,J1296&gt;=Assumptions!$B$4),1,0)</f>
        <v/>
      </c>
      <c r="L1296" s="3">
        <f>I1296*K1296</f>
        <v/>
      </c>
      <c r="M1296">
        <f>SUM($K$2:K1296)</f>
        <v/>
      </c>
    </row>
    <row r="1297">
      <c r="A1297" t="inlineStr">
        <is>
          <t>260163</t>
        </is>
      </c>
      <c r="B1297" t="inlineStr">
        <is>
          <t>Parkland Health Center</t>
        </is>
      </c>
      <c r="C1297" t="inlineStr">
        <is>
          <t>MO</t>
        </is>
      </c>
      <c r="D1297" t="inlineStr">
        <is>
          <t>Micropolitan</t>
        </is>
      </c>
      <c r="E1297" s="5" t="n">
        <v>693</v>
      </c>
      <c r="F1297" s="4" t="n">
        <v>0.7243867243867244</v>
      </c>
      <c r="G1297" s="4" t="n">
        <v>0.6872678760115065</v>
      </c>
      <c r="H1297" s="3" t="n">
        <v>9489029.552967172</v>
      </c>
      <c r="I1297" s="3" t="n">
        <v>-202949.3040814456</v>
      </c>
      <c r="J1297" s="4" t="n">
        <v>-0.0213877829074717</v>
      </c>
      <c r="K1297">
        <f>IF(AND(I1297&gt;0,J1297&gt;=Assumptions!$B$4),1,0)</f>
        <v/>
      </c>
      <c r="L1297" s="3">
        <f>I1297*K1297</f>
        <v/>
      </c>
      <c r="M1297">
        <f>SUM($K$2:K1297)</f>
        <v/>
      </c>
    </row>
    <row r="1298">
      <c r="A1298" t="inlineStr">
        <is>
          <t>050506</t>
        </is>
      </c>
      <c r="B1298" t="inlineStr">
        <is>
          <t>Tenet Health Central Coast Sierra Vista Rmc</t>
        </is>
      </c>
      <c r="C1298" t="inlineStr">
        <is>
          <t>CA</t>
        </is>
      </c>
      <c r="D1298" t="inlineStr">
        <is>
          <t>Metropolitan</t>
        </is>
      </c>
      <c r="E1298" s="5" t="n">
        <v>485</v>
      </c>
      <c r="F1298" s="4" t="n">
        <v>0.668041237113402</v>
      </c>
      <c r="G1298" s="4" t="n">
        <v>0.6289692140427862</v>
      </c>
      <c r="H1298" s="3" t="n">
        <v>8172278.468628112</v>
      </c>
      <c r="I1298" s="3" t="n">
        <v>-203541.423778885</v>
      </c>
      <c r="J1298" s="4" t="n">
        <v>-0.0249063250304359</v>
      </c>
      <c r="K1298">
        <f>IF(AND(I1298&gt;0,J1298&gt;=Assumptions!$B$4),1,0)</f>
        <v/>
      </c>
      <c r="L1298" s="3">
        <f>I1298*K1298</f>
        <v/>
      </c>
      <c r="M1298">
        <f>SUM($K$2:K1298)</f>
        <v/>
      </c>
    </row>
    <row r="1299">
      <c r="A1299" t="inlineStr">
        <is>
          <t>230005</t>
        </is>
      </c>
      <c r="B1299" t="inlineStr">
        <is>
          <t>Promedica Charles And Virginia Hickman Hospital</t>
        </is>
      </c>
      <c r="C1299" t="inlineStr">
        <is>
          <t>MI</t>
        </is>
      </c>
      <c r="D1299" t="inlineStr">
        <is>
          <t>Micropolitan</t>
        </is>
      </c>
      <c r="E1299" s="5" t="n">
        <v>432</v>
      </c>
      <c r="F1299" s="4" t="n">
        <v>0.7847222222222222</v>
      </c>
      <c r="G1299" s="4" t="n">
        <v>0.7004450340846904</v>
      </c>
      <c r="H1299" s="3" t="n">
        <v>5968902.598410645</v>
      </c>
      <c r="I1299" s="3" t="n">
        <v>-203663.1732834922</v>
      </c>
      <c r="J1299" s="4" t="n">
        <v>-0.0341207064323217</v>
      </c>
      <c r="K1299">
        <f>IF(AND(I1299&gt;0,J1299&gt;=Assumptions!$B$4),1,0)</f>
        <v/>
      </c>
      <c r="L1299" s="3">
        <f>I1299*K1299</f>
        <v/>
      </c>
      <c r="M1299">
        <f>SUM($K$2:K1299)</f>
        <v/>
      </c>
    </row>
    <row r="1300">
      <c r="A1300" t="inlineStr">
        <is>
          <t>230270</t>
        </is>
      </c>
      <c r="B1300" t="inlineStr">
        <is>
          <t>Beaumont Hospital - Taylor</t>
        </is>
      </c>
      <c r="C1300" t="inlineStr">
        <is>
          <t>MI</t>
        </is>
      </c>
      <c r="D1300" t="inlineStr">
        <is>
          <t>Metropolitan</t>
        </is>
      </c>
      <c r="E1300" s="5" t="n">
        <v>715</v>
      </c>
      <c r="F1300" s="4" t="n">
        <v>0.7076923076923077</v>
      </c>
      <c r="G1300" s="4" t="n">
        <v>0.6658179886882495</v>
      </c>
      <c r="H1300" s="3" t="n">
        <v>8823904.73763559</v>
      </c>
      <c r="I1300" s="3" t="n">
        <v>-204385.5379146524</v>
      </c>
      <c r="J1300" s="4" t="n">
        <v>-0.0231627090264143</v>
      </c>
      <c r="K1300">
        <f>IF(AND(I1300&gt;0,J1300&gt;=Assumptions!$B$4),1,0)</f>
        <v/>
      </c>
      <c r="L1300" s="3">
        <f>I1300*K1300</f>
        <v/>
      </c>
      <c r="M1300">
        <f>SUM($K$2:K1300)</f>
        <v/>
      </c>
    </row>
    <row r="1301">
      <c r="A1301" t="inlineStr">
        <is>
          <t>310009</t>
        </is>
      </c>
      <c r="B1301" t="inlineStr">
        <is>
          <t>Clara Maass Medical Center</t>
        </is>
      </c>
      <c r="C1301" t="inlineStr">
        <is>
          <t>NJ</t>
        </is>
      </c>
      <c r="D1301" t="inlineStr">
        <is>
          <t>Metropolitan</t>
        </is>
      </c>
      <c r="E1301" s="5" t="n">
        <v>1227</v>
      </c>
      <c r="F1301" s="4" t="n">
        <v>0.6112469437652812</v>
      </c>
      <c r="G1301" s="4" t="n">
        <v>0.6066828159191557</v>
      </c>
      <c r="H1301" s="3" t="n">
        <v>16937078.94893545</v>
      </c>
      <c r="I1301" s="3" t="n">
        <v>-205440.9163148589</v>
      </c>
      <c r="J1301" s="4" t="n">
        <v>-0.0121296545250957</v>
      </c>
      <c r="K1301">
        <f>IF(AND(I1301&gt;0,J1301&gt;=Assumptions!$B$4),1,0)</f>
        <v/>
      </c>
      <c r="L1301" s="3">
        <f>I1301*K1301</f>
        <v/>
      </c>
      <c r="M1301">
        <f>SUM($K$2:K1301)</f>
        <v/>
      </c>
    </row>
    <row r="1302">
      <c r="A1302" t="inlineStr">
        <is>
          <t>100275</t>
        </is>
      </c>
      <c r="B1302" t="inlineStr">
        <is>
          <t>Wellington Regional Medical Center</t>
        </is>
      </c>
      <c r="C1302" t="inlineStr">
        <is>
          <t>FL</t>
        </is>
      </c>
      <c r="D1302" t="inlineStr">
        <is>
          <t>Metropolitan</t>
        </is>
      </c>
      <c r="E1302" s="5" t="n">
        <v>1285</v>
      </c>
      <c r="F1302" s="4" t="n">
        <v>0.6132295719844358</v>
      </c>
      <c r="G1302" s="4" t="n">
        <v>0.6173054156245144</v>
      </c>
      <c r="H1302" s="3" t="n">
        <v>17619779.09807419</v>
      </c>
      <c r="I1302" s="3" t="n">
        <v>-206155.0550898612</v>
      </c>
      <c r="J1302" s="4" t="n">
        <v>-0.0117002065657221</v>
      </c>
      <c r="K1302">
        <f>IF(AND(I1302&gt;0,J1302&gt;=Assumptions!$B$4),1,0)</f>
        <v/>
      </c>
      <c r="L1302" s="3">
        <f>I1302*K1302</f>
        <v/>
      </c>
      <c r="M1302">
        <f>SUM($K$2:K1302)</f>
        <v/>
      </c>
    </row>
    <row r="1303">
      <c r="A1303" t="inlineStr">
        <is>
          <t>050238</t>
        </is>
      </c>
      <c r="B1303" t="inlineStr">
        <is>
          <t>Usc Arcadia Hospital</t>
        </is>
      </c>
      <c r="C1303" t="inlineStr">
        <is>
          <t>CA</t>
        </is>
      </c>
      <c r="D1303" t="inlineStr">
        <is>
          <t>Metropolitan</t>
        </is>
      </c>
      <c r="E1303" s="5" t="n">
        <v>2245</v>
      </c>
      <c r="F1303" s="4" t="n">
        <v>0.6209354120267261</v>
      </c>
      <c r="G1303" s="4" t="n">
        <v>0.6155467473833542</v>
      </c>
      <c r="H1303" s="3" t="n">
        <v>34222867.02476855</v>
      </c>
      <c r="I1303" s="3" t="n">
        <v>-207632.3463312611</v>
      </c>
      <c r="J1303" s="4" t="n">
        <v>-0.0060670646378337</v>
      </c>
      <c r="K1303">
        <f>IF(AND(I1303&gt;0,J1303&gt;=Assumptions!$B$4),1,0)</f>
        <v/>
      </c>
      <c r="L1303" s="3">
        <f>I1303*K1303</f>
        <v/>
      </c>
      <c r="M1303">
        <f>SUM($K$2:K1303)</f>
        <v/>
      </c>
    </row>
    <row r="1304">
      <c r="A1304" t="inlineStr">
        <is>
          <t>340008</t>
        </is>
      </c>
      <c r="B1304" t="inlineStr">
        <is>
          <t>Scotland Memorial Hospital</t>
        </is>
      </c>
      <c r="C1304" t="inlineStr">
        <is>
          <t>NC</t>
        </is>
      </c>
      <c r="D1304" t="inlineStr">
        <is>
          <t>Micropolitan</t>
        </is>
      </c>
      <c r="E1304" s="5" t="n">
        <v>586</v>
      </c>
      <c r="F1304" s="4" t="n">
        <v>0.7593856655290102</v>
      </c>
      <c r="G1304" s="4" t="n">
        <v>0.7137439260033029</v>
      </c>
      <c r="H1304" s="3" t="n">
        <v>7900050.951117287</v>
      </c>
      <c r="I1304" s="3" t="n">
        <v>-207851.5547968895</v>
      </c>
      <c r="J1304" s="4" t="n">
        <v>-0.0263101537044509</v>
      </c>
      <c r="K1304">
        <f>IF(AND(I1304&gt;0,J1304&gt;=Assumptions!$B$4),1,0)</f>
        <v/>
      </c>
      <c r="L1304" s="3">
        <f>I1304*K1304</f>
        <v/>
      </c>
      <c r="M1304">
        <f>SUM($K$2:K1304)</f>
        <v/>
      </c>
    </row>
    <row r="1305">
      <c r="A1305" t="inlineStr">
        <is>
          <t>150109</t>
        </is>
      </c>
      <c r="B1305" t="inlineStr">
        <is>
          <t>Franciscan Health Lafayette</t>
        </is>
      </c>
      <c r="C1305" t="inlineStr">
        <is>
          <t>IN</t>
        </is>
      </c>
      <c r="D1305" t="inlineStr">
        <is>
          <t>Metropolitan</t>
        </is>
      </c>
      <c r="E1305" s="5" t="n">
        <v>1342</v>
      </c>
      <c r="F1305" s="4" t="n">
        <v>0.6944858420268256</v>
      </c>
      <c r="G1305" s="4" t="n">
        <v>0.6506353115998621</v>
      </c>
      <c r="H1305" s="3" t="n">
        <v>22484950.54394342</v>
      </c>
      <c r="I1305" s="3" t="n">
        <v>-208211.898496028</v>
      </c>
      <c r="J1305" s="4" t="n">
        <v>-0.009260055880003301</v>
      </c>
      <c r="K1305">
        <f>IF(AND(I1305&gt;0,J1305&gt;=Assumptions!$B$4),1,0)</f>
        <v/>
      </c>
      <c r="L1305" s="3">
        <f>I1305*K1305</f>
        <v/>
      </c>
      <c r="M1305">
        <f>SUM($K$2:K1305)</f>
        <v/>
      </c>
    </row>
    <row r="1306">
      <c r="A1306" t="inlineStr">
        <is>
          <t>050058</t>
        </is>
      </c>
      <c r="B1306" t="inlineStr">
        <is>
          <t>Glendale Mem Hospital &amp; Hlth Center</t>
        </is>
      </c>
      <c r="C1306" t="inlineStr">
        <is>
          <t>CA</t>
        </is>
      </c>
      <c r="D1306" t="inlineStr">
        <is>
          <t>Metropolitan</t>
        </is>
      </c>
      <c r="E1306" s="5" t="n">
        <v>1259</v>
      </c>
      <c r="F1306" s="4" t="n">
        <v>0.7315329626687848</v>
      </c>
      <c r="G1306" s="4" t="n">
        <v>0.7126563170440663</v>
      </c>
      <c r="H1306" s="3" t="n">
        <v>18271069.37119899</v>
      </c>
      <c r="I1306" s="3" t="n">
        <v>-208547.4391338564</v>
      </c>
      <c r="J1306" s="4" t="n">
        <v>-0.0114140795427438</v>
      </c>
      <c r="K1306">
        <f>IF(AND(I1306&gt;0,J1306&gt;=Assumptions!$B$4),1,0)</f>
        <v/>
      </c>
      <c r="L1306" s="3">
        <f>I1306*K1306</f>
        <v/>
      </c>
      <c r="M1306">
        <f>SUM($K$2:K1306)</f>
        <v/>
      </c>
    </row>
    <row r="1307">
      <c r="A1307" t="inlineStr">
        <is>
          <t>140182</t>
        </is>
      </c>
      <c r="B1307" t="inlineStr">
        <is>
          <t>Advocate Illinois Masonic Medical Center</t>
        </is>
      </c>
      <c r="C1307" t="inlineStr">
        <is>
          <t>IL</t>
        </is>
      </c>
      <c r="D1307" t="inlineStr">
        <is>
          <t>Metropolitan</t>
        </is>
      </c>
      <c r="E1307" s="5" t="n">
        <v>1050</v>
      </c>
      <c r="F1307" s="4" t="n">
        <v>0.5866666666666667</v>
      </c>
      <c r="G1307" s="4" t="n">
        <v>0.5811878926507905</v>
      </c>
      <c r="H1307" s="3" t="n">
        <v>16352327.41190669</v>
      </c>
      <c r="I1307" s="3" t="n">
        <v>-208863.3834044468</v>
      </c>
      <c r="J1307" s="4" t="n">
        <v>-0.0127727006769914</v>
      </c>
      <c r="K1307">
        <f>IF(AND(I1307&gt;0,J1307&gt;=Assumptions!$B$4),1,0)</f>
        <v/>
      </c>
      <c r="L1307" s="3">
        <f>I1307*K1307</f>
        <v/>
      </c>
      <c r="M1307">
        <f>SUM($K$2:K1307)</f>
        <v/>
      </c>
    </row>
    <row r="1308">
      <c r="A1308" t="inlineStr">
        <is>
          <t>440046</t>
        </is>
      </c>
      <c r="B1308" t="inlineStr">
        <is>
          <t>Tristar Horizon Medical Center</t>
        </is>
      </c>
      <c r="C1308" t="inlineStr">
        <is>
          <t>TN</t>
        </is>
      </c>
      <c r="D1308" t="inlineStr">
        <is>
          <t>Micropolitan</t>
        </is>
      </c>
      <c r="E1308" s="5" t="n">
        <v>729</v>
      </c>
      <c r="F1308" s="4" t="n">
        <v>0.7119341563786008</v>
      </c>
      <c r="G1308" s="4" t="n">
        <v>0.6694339871290668</v>
      </c>
      <c r="H1308" s="3" t="n">
        <v>10507478.02157536</v>
      </c>
      <c r="I1308" s="3" t="n">
        <v>-210059.9396323152</v>
      </c>
      <c r="J1308" s="4" t="n">
        <v>-0.019991470760252</v>
      </c>
      <c r="K1308">
        <f>IF(AND(I1308&gt;0,J1308&gt;=Assumptions!$B$4),1,0)</f>
        <v/>
      </c>
      <c r="L1308" s="3">
        <f>I1308*K1308</f>
        <v/>
      </c>
      <c r="M1308">
        <f>SUM($K$2:K1308)</f>
        <v/>
      </c>
    </row>
    <row r="1309">
      <c r="A1309" t="inlineStr">
        <is>
          <t>050301</t>
        </is>
      </c>
      <c r="B1309" t="inlineStr">
        <is>
          <t>Adventist Health Ukiah Valley</t>
        </is>
      </c>
      <c r="C1309" t="inlineStr">
        <is>
          <t>CA</t>
        </is>
      </c>
      <c r="D1309" t="inlineStr">
        <is>
          <t>Micropolitan</t>
        </is>
      </c>
      <c r="E1309" s="5" t="n">
        <v>539</v>
      </c>
      <c r="F1309" s="4" t="n">
        <v>0.8311688311688312</v>
      </c>
      <c r="G1309" s="4" t="n">
        <v>0.7671621309126208</v>
      </c>
      <c r="H1309" s="3" t="n">
        <v>7729929.275222775</v>
      </c>
      <c r="I1309" s="3" t="n">
        <v>-210322.8927844763</v>
      </c>
      <c r="J1309" s="4" t="n">
        <v>-0.0272089026038876</v>
      </c>
      <c r="K1309">
        <f>IF(AND(I1309&gt;0,J1309&gt;=Assumptions!$B$4),1,0)</f>
        <v/>
      </c>
      <c r="L1309" s="3">
        <f>I1309*K1309</f>
        <v/>
      </c>
      <c r="M1309">
        <f>SUM($K$2:K1309)</f>
        <v/>
      </c>
    </row>
    <row r="1310">
      <c r="A1310" t="inlineStr">
        <is>
          <t>500041</t>
        </is>
      </c>
      <c r="B1310" t="inlineStr">
        <is>
          <t>Peacehealth St John Medical Center</t>
        </is>
      </c>
      <c r="C1310" t="inlineStr">
        <is>
          <t>WA</t>
        </is>
      </c>
      <c r="D1310" t="inlineStr">
        <is>
          <t>Metropolitan</t>
        </is>
      </c>
      <c r="E1310" s="5" t="n">
        <v>735</v>
      </c>
      <c r="F1310" s="4" t="n">
        <v>0.7006802721088435</v>
      </c>
      <c r="G1310" s="4" t="n">
        <v>0.6592418418855777</v>
      </c>
      <c r="H1310" s="3" t="n">
        <v>9974688.553626969</v>
      </c>
      <c r="I1310" s="3" t="n">
        <v>-211161.3534060773</v>
      </c>
      <c r="J1310" s="4" t="n">
        <v>-0.0211697189612296</v>
      </c>
      <c r="K1310">
        <f>IF(AND(I1310&gt;0,J1310&gt;=Assumptions!$B$4),1,0)</f>
        <v/>
      </c>
      <c r="L1310" s="3">
        <f>I1310*K1310</f>
        <v/>
      </c>
      <c r="M1310">
        <f>SUM($K$2:K1310)</f>
        <v/>
      </c>
    </row>
    <row r="1311">
      <c r="A1311" t="inlineStr">
        <is>
          <t>440227</t>
        </is>
      </c>
      <c r="B1311" t="inlineStr">
        <is>
          <t>Tristar Stonecrest Medical Center</t>
        </is>
      </c>
      <c r="C1311" t="inlineStr">
        <is>
          <t>TN</t>
        </is>
      </c>
      <c r="D1311" t="inlineStr">
        <is>
          <t>Metropolitan</t>
        </is>
      </c>
      <c r="E1311" s="5" t="n">
        <v>369</v>
      </c>
      <c r="F1311" s="4" t="n">
        <v>0.6612466124661247</v>
      </c>
      <c r="G1311" s="4" t="n">
        <v>0.5962729902925601</v>
      </c>
      <c r="H1311" s="3" t="n">
        <v>7186342.639730222</v>
      </c>
      <c r="I1311" s="3" t="n">
        <v>-211330.1727444688</v>
      </c>
      <c r="J1311" s="4" t="n">
        <v>-0.0294071940817453</v>
      </c>
      <c r="K1311">
        <f>IF(AND(I1311&gt;0,J1311&gt;=Assumptions!$B$4),1,0)</f>
        <v/>
      </c>
      <c r="L1311" s="3">
        <f>I1311*K1311</f>
        <v/>
      </c>
      <c r="M1311">
        <f>SUM($K$2:K1311)</f>
        <v/>
      </c>
    </row>
    <row r="1312">
      <c r="A1312" t="inlineStr">
        <is>
          <t>050534</t>
        </is>
      </c>
      <c r="B1312" t="inlineStr">
        <is>
          <t>John F Kennedy Memorial Hospital</t>
        </is>
      </c>
      <c r="C1312" t="inlineStr">
        <is>
          <t>CA</t>
        </is>
      </c>
      <c r="D1312" t="inlineStr">
        <is>
          <t>Metropolitan</t>
        </is>
      </c>
      <c r="E1312" s="5" t="n">
        <v>367</v>
      </c>
      <c r="F1312" s="4" t="n">
        <v>0.8719346049046321</v>
      </c>
      <c r="G1312" s="4" t="n">
        <v>0.7889889171352478</v>
      </c>
      <c r="H1312" s="3" t="n">
        <v>5566127.133927323</v>
      </c>
      <c r="I1312" s="3" t="n">
        <v>-211702.5131946281</v>
      </c>
      <c r="J1312" s="4" t="n">
        <v>-0.0380340779326137</v>
      </c>
      <c r="K1312">
        <f>IF(AND(I1312&gt;0,J1312&gt;=Assumptions!$B$4),1,0)</f>
        <v/>
      </c>
      <c r="L1312" s="3">
        <f>I1312*K1312</f>
        <v/>
      </c>
      <c r="M1312">
        <f>SUM($K$2:K1312)</f>
        <v/>
      </c>
    </row>
    <row r="1313">
      <c r="A1313" t="inlineStr">
        <is>
          <t>420015</t>
        </is>
      </c>
      <c r="B1313" t="inlineStr">
        <is>
          <t>Prisma Health Baptist Easley Hospital</t>
        </is>
      </c>
      <c r="C1313" t="inlineStr">
        <is>
          <t>SC</t>
        </is>
      </c>
      <c r="D1313" t="inlineStr">
        <is>
          <t>Metropolitan</t>
        </is>
      </c>
      <c r="E1313" s="5" t="n">
        <v>671</v>
      </c>
      <c r="F1313" s="4" t="n">
        <v>0.7436661698956781</v>
      </c>
      <c r="G1313" s="4" t="n">
        <v>0.6893885412336047</v>
      </c>
      <c r="H1313" s="3" t="n">
        <v>9398582.15487113</v>
      </c>
      <c r="I1313" s="3" t="n">
        <v>-212299.1284345146</v>
      </c>
      <c r="J1313" s="4" t="n">
        <v>-0.0225884207783919</v>
      </c>
      <c r="K1313">
        <f>IF(AND(I1313&gt;0,J1313&gt;=Assumptions!$B$4),1,0)</f>
        <v/>
      </c>
      <c r="L1313" s="3">
        <f>I1313*K1313</f>
        <v/>
      </c>
      <c r="M1313">
        <f>SUM($K$2:K1313)</f>
        <v/>
      </c>
    </row>
    <row r="1314">
      <c r="A1314" t="inlineStr">
        <is>
          <t>100253</t>
        </is>
      </c>
      <c r="B1314" t="inlineStr">
        <is>
          <t>Jupiter Medical Center</t>
        </is>
      </c>
      <c r="C1314" t="inlineStr">
        <is>
          <t>FL</t>
        </is>
      </c>
      <c r="D1314" t="inlineStr">
        <is>
          <t>Metropolitan</t>
        </is>
      </c>
      <c r="E1314" s="5" t="n">
        <v>3848</v>
      </c>
      <c r="F1314" s="4" t="n">
        <v>0.5408004158004158</v>
      </c>
      <c r="G1314" s="4" t="n">
        <v>0.5406638437451562</v>
      </c>
      <c r="H1314" s="3" t="n">
        <v>63594437.06916777</v>
      </c>
      <c r="I1314" s="3" t="n">
        <v>-214537.8929037749</v>
      </c>
      <c r="J1314" s="4" t="n">
        <v>-0.0033735323841366</v>
      </c>
      <c r="K1314">
        <f>IF(AND(I1314&gt;0,J1314&gt;=Assumptions!$B$4),1,0)</f>
        <v/>
      </c>
      <c r="L1314" s="3">
        <f>I1314*K1314</f>
        <v/>
      </c>
      <c r="M1314">
        <f>SUM($K$2:K1314)</f>
        <v/>
      </c>
    </row>
    <row r="1315">
      <c r="A1315" t="inlineStr">
        <is>
          <t>150089</t>
        </is>
      </c>
      <c r="B1315" t="inlineStr">
        <is>
          <t>Indiana University Health Ball Memorial Hospital</t>
        </is>
      </c>
      <c r="C1315" t="inlineStr">
        <is>
          <t>IN</t>
        </is>
      </c>
      <c r="D1315" t="inlineStr">
        <is>
          <t>Metropolitan</t>
        </is>
      </c>
      <c r="E1315" s="5" t="n">
        <v>2772</v>
      </c>
      <c r="F1315" s="4" t="n">
        <v>0.6179653679653679</v>
      </c>
      <c r="G1315" s="4" t="n">
        <v>0.5952542417669798</v>
      </c>
      <c r="H1315" s="3" t="n">
        <v>42524234.74047</v>
      </c>
      <c r="I1315" s="3" t="n">
        <v>-214998.7576020285</v>
      </c>
      <c r="J1315" s="4" t="n">
        <v>-0.0050559112683435</v>
      </c>
      <c r="K1315">
        <f>IF(AND(I1315&gt;0,J1315&gt;=Assumptions!$B$4),1,0)</f>
        <v/>
      </c>
      <c r="L1315" s="3">
        <f>I1315*K1315</f>
        <v/>
      </c>
      <c r="M1315">
        <f>SUM($K$2:K1315)</f>
        <v/>
      </c>
    </row>
    <row r="1316">
      <c r="A1316" t="inlineStr">
        <is>
          <t>030115</t>
        </is>
      </c>
      <c r="B1316" t="inlineStr">
        <is>
          <t>Banner Estrella Medical Center</t>
        </is>
      </c>
      <c r="C1316" t="inlineStr">
        <is>
          <t>AZ</t>
        </is>
      </c>
      <c r="D1316" t="inlineStr">
        <is>
          <t>Metropolitan</t>
        </is>
      </c>
      <c r="E1316" s="5" t="n">
        <v>1009</v>
      </c>
      <c r="F1316" s="4" t="n">
        <v>0.7314172447968286</v>
      </c>
      <c r="G1316" s="4" t="n">
        <v>0.6959893986412189</v>
      </c>
      <c r="H1316" s="3" t="n">
        <v>16213020.6993426</v>
      </c>
      <c r="I1316" s="3" t="n">
        <v>-215656.4653639607</v>
      </c>
      <c r="J1316" s="4" t="n">
        <v>-0.0133014365036063</v>
      </c>
      <c r="K1316">
        <f>IF(AND(I1316&gt;0,J1316&gt;=Assumptions!$B$4),1,0)</f>
        <v/>
      </c>
      <c r="L1316" s="3">
        <f>I1316*K1316</f>
        <v/>
      </c>
      <c r="M1316">
        <f>SUM($K$2:K1316)</f>
        <v/>
      </c>
    </row>
    <row r="1317">
      <c r="A1317" t="inlineStr">
        <is>
          <t>450033</t>
        </is>
      </c>
      <c r="B1317" t="inlineStr">
        <is>
          <t>Vhs Harlingen Hospital Company Llc</t>
        </is>
      </c>
      <c r="C1317" t="inlineStr">
        <is>
          <t>TX</t>
        </is>
      </c>
      <c r="D1317" t="inlineStr">
        <is>
          <t>Metropolitan</t>
        </is>
      </c>
      <c r="E1317" s="5" t="n">
        <v>1202</v>
      </c>
      <c r="F1317" s="4" t="n">
        <v>0.6688851913477537</v>
      </c>
      <c r="G1317" s="4" t="n">
        <v>0.6522417241275476</v>
      </c>
      <c r="H1317" s="3" t="n">
        <v>18924878.15205038</v>
      </c>
      <c r="I1317" s="3" t="n">
        <v>-217172.9232798629</v>
      </c>
      <c r="J1317" s="4" t="n">
        <v>-0.0114755255772325</v>
      </c>
      <c r="K1317">
        <f>IF(AND(I1317&gt;0,J1317&gt;=Assumptions!$B$4),1,0)</f>
        <v/>
      </c>
      <c r="L1317" s="3">
        <f>I1317*K1317</f>
        <v/>
      </c>
      <c r="M1317">
        <f>SUM($K$2:K1317)</f>
        <v/>
      </c>
    </row>
    <row r="1318">
      <c r="A1318" t="inlineStr">
        <is>
          <t>310006</t>
        </is>
      </c>
      <c r="B1318" t="inlineStr">
        <is>
          <t>St Mary's General Hospital</t>
        </is>
      </c>
      <c r="C1318" t="inlineStr">
        <is>
          <t>NJ</t>
        </is>
      </c>
      <c r="D1318" t="inlineStr">
        <is>
          <t>Metropolitan</t>
        </is>
      </c>
      <c r="E1318" s="5" t="n">
        <v>524</v>
      </c>
      <c r="F1318" s="4" t="n">
        <v>0.7729007633587787</v>
      </c>
      <c r="G1318" s="4" t="n">
        <v>0.7271590135003991</v>
      </c>
      <c r="H1318" s="3" t="n">
        <v>7551712.209851749</v>
      </c>
      <c r="I1318" s="3" t="n">
        <v>-218343.0194017785</v>
      </c>
      <c r="J1318" s="4" t="n">
        <v>-0.0289130482378465</v>
      </c>
      <c r="K1318">
        <f>IF(AND(I1318&gt;0,J1318&gt;=Assumptions!$B$4),1,0)</f>
        <v/>
      </c>
      <c r="L1318" s="3">
        <f>I1318*K1318</f>
        <v/>
      </c>
      <c r="M1318">
        <f>SUM($K$2:K1318)</f>
        <v/>
      </c>
    </row>
    <row r="1319">
      <c r="A1319" t="inlineStr">
        <is>
          <t>050775</t>
        </is>
      </c>
      <c r="B1319" t="inlineStr">
        <is>
          <t>Temecula Valley Hospital</t>
        </is>
      </c>
      <c r="C1319" t="inlineStr">
        <is>
          <t>CA</t>
        </is>
      </c>
      <c r="D1319" t="inlineStr">
        <is>
          <t>Metropolitan</t>
        </is>
      </c>
      <c r="E1319" s="5" t="n">
        <v>1097</v>
      </c>
      <c r="F1319" s="4" t="n">
        <v>0.6235186873290793</v>
      </c>
      <c r="G1319" s="4" t="n">
        <v>0.6109585901130637</v>
      </c>
      <c r="H1319" s="3" t="n">
        <v>15204590.10475609</v>
      </c>
      <c r="I1319" s="3" t="n">
        <v>-218891.89937477</v>
      </c>
      <c r="J1319" s="4" t="n">
        <v>-0.014396435409745</v>
      </c>
      <c r="K1319">
        <f>IF(AND(I1319&gt;0,J1319&gt;=Assumptions!$B$4),1,0)</f>
        <v/>
      </c>
      <c r="L1319" s="3">
        <f>I1319*K1319</f>
        <v/>
      </c>
      <c r="M1319">
        <f>SUM($K$2:K1319)</f>
        <v/>
      </c>
    </row>
    <row r="1320">
      <c r="A1320" t="inlineStr">
        <is>
          <t>420036</t>
        </is>
      </c>
      <c r="B1320" t="inlineStr">
        <is>
          <t>Musc Health Lancaster Medical Center</t>
        </is>
      </c>
      <c r="C1320" t="inlineStr">
        <is>
          <t>SC</t>
        </is>
      </c>
      <c r="D1320" t="inlineStr">
        <is>
          <t>Micropolitan</t>
        </is>
      </c>
      <c r="E1320" s="5" t="n">
        <v>522</v>
      </c>
      <c r="F1320" s="4" t="n">
        <v>0.6839080459770115</v>
      </c>
      <c r="G1320" s="4" t="n">
        <v>0.6530358703649998</v>
      </c>
      <c r="H1320" s="3" t="n">
        <v>8321973.691484117</v>
      </c>
      <c r="I1320" s="3" t="n">
        <v>-219000.1824594671</v>
      </c>
      <c r="J1320" s="4" t="n">
        <v>-0.0263158945916363</v>
      </c>
      <c r="K1320">
        <f>IF(AND(I1320&gt;0,J1320&gt;=Assumptions!$B$4),1,0)</f>
        <v/>
      </c>
      <c r="L1320" s="3">
        <f>I1320*K1320</f>
        <v/>
      </c>
      <c r="M1320">
        <f>SUM($K$2:K1320)</f>
        <v/>
      </c>
    </row>
    <row r="1321">
      <c r="A1321" t="inlineStr">
        <is>
          <t>310112</t>
        </is>
      </c>
      <c r="B1321" t="inlineStr">
        <is>
          <t>Bayshore Medical Center</t>
        </is>
      </c>
      <c r="C1321" t="inlineStr">
        <is>
          <t>NJ</t>
        </is>
      </c>
      <c r="D1321" t="inlineStr">
        <is>
          <t>Metropolitan</t>
        </is>
      </c>
      <c r="E1321" s="5" t="n">
        <v>1846</v>
      </c>
      <c r="F1321" s="4" t="n">
        <v>0.6722643553629469</v>
      </c>
      <c r="G1321" s="4" t="n">
        <v>0.6421699733958797</v>
      </c>
      <c r="H1321" s="3" t="n">
        <v>25173759.80326196</v>
      </c>
      <c r="I1321" s="3" t="n">
        <v>-219026.5530418456</v>
      </c>
      <c r="J1321" s="4" t="n">
        <v>-0.0087005896121033</v>
      </c>
      <c r="K1321">
        <f>IF(AND(I1321&gt;0,J1321&gt;=Assumptions!$B$4),1,0)</f>
        <v/>
      </c>
      <c r="L1321" s="3">
        <f>I1321*K1321</f>
        <v/>
      </c>
      <c r="M1321">
        <f>SUM($K$2:K1321)</f>
        <v/>
      </c>
    </row>
    <row r="1322">
      <c r="A1322" t="inlineStr">
        <is>
          <t>360239</t>
        </is>
      </c>
      <c r="B1322" t="inlineStr">
        <is>
          <t>Kettering Health Miamisburg</t>
        </is>
      </c>
      <c r="C1322" t="inlineStr">
        <is>
          <t>OH</t>
        </is>
      </c>
      <c r="D1322" t="inlineStr">
        <is>
          <t>Metropolitan</t>
        </is>
      </c>
      <c r="E1322" s="5" t="n">
        <v>635</v>
      </c>
      <c r="F1322" s="4" t="n">
        <v>0.7370078740157481</v>
      </c>
      <c r="G1322" s="4" t="n">
        <v>0.6810801593487695</v>
      </c>
      <c r="H1322" s="3" t="n">
        <v>8448958.478607383</v>
      </c>
      <c r="I1322" s="3" t="n">
        <v>-220722.6412385497</v>
      </c>
      <c r="J1322" s="4" t="n">
        <v>-0.0261242426267587</v>
      </c>
      <c r="K1322">
        <f>IF(AND(I1322&gt;0,J1322&gt;=Assumptions!$B$4),1,0)</f>
        <v/>
      </c>
      <c r="L1322" s="3">
        <f>I1322*K1322</f>
        <v/>
      </c>
      <c r="M1322">
        <f>SUM($K$2:K1322)</f>
        <v/>
      </c>
    </row>
    <row r="1323">
      <c r="A1323" t="inlineStr">
        <is>
          <t>230146</t>
        </is>
      </c>
      <c r="B1323" t="inlineStr">
        <is>
          <t>Henry Ford Health Wyandotte Hospital</t>
        </is>
      </c>
      <c r="C1323" t="inlineStr">
        <is>
          <t>MI</t>
        </is>
      </c>
      <c r="D1323" t="inlineStr">
        <is>
          <t>Metropolitan</t>
        </is>
      </c>
      <c r="E1323" s="5" t="n">
        <v>1799</v>
      </c>
      <c r="F1323" s="4" t="n">
        <v>0.5997776542523624</v>
      </c>
      <c r="G1323" s="4" t="n">
        <v>0.6021828861598179</v>
      </c>
      <c r="H1323" s="3" t="n">
        <v>25245115.34884802</v>
      </c>
      <c r="I1323" s="3" t="n">
        <v>-221020.5376329832</v>
      </c>
      <c r="J1323" s="4" t="n">
        <v>-0.0087549822838527</v>
      </c>
      <c r="K1323">
        <f>IF(AND(I1323&gt;0,J1323&gt;=Assumptions!$B$4),1,0)</f>
        <v/>
      </c>
      <c r="L1323" s="3">
        <f>I1323*K1323</f>
        <v/>
      </c>
      <c r="M1323">
        <f>SUM($K$2:K1323)</f>
        <v/>
      </c>
    </row>
    <row r="1324">
      <c r="A1324" t="inlineStr">
        <is>
          <t>460001</t>
        </is>
      </c>
      <c r="B1324" t="inlineStr">
        <is>
          <t>Utah Valley Hospital</t>
        </is>
      </c>
      <c r="C1324" t="inlineStr">
        <is>
          <t>UT</t>
        </is>
      </c>
      <c r="D1324" t="inlineStr">
        <is>
          <t>Metropolitan</t>
        </is>
      </c>
      <c r="E1324" s="5" t="n">
        <v>2069</v>
      </c>
      <c r="F1324" s="4" t="n">
        <v>0.5824069598840019</v>
      </c>
      <c r="G1324" s="4" t="n">
        <v>0.558436254509146</v>
      </c>
      <c r="H1324" s="3" t="n">
        <v>43369020.44670098</v>
      </c>
      <c r="I1324" s="3" t="n">
        <v>-222530.866009228</v>
      </c>
      <c r="J1324" s="4" t="n">
        <v>-0.0051311019644243</v>
      </c>
      <c r="K1324">
        <f>IF(AND(I1324&gt;0,J1324&gt;=Assumptions!$B$4),1,0)</f>
        <v/>
      </c>
      <c r="L1324" s="3">
        <f>I1324*K1324</f>
        <v/>
      </c>
      <c r="M1324">
        <f>SUM($K$2:K1324)</f>
        <v/>
      </c>
    </row>
    <row r="1325">
      <c r="A1325" t="inlineStr">
        <is>
          <t>160016</t>
        </is>
      </c>
      <c r="B1325" t="inlineStr">
        <is>
          <t>Trinity Regional Medical Center</t>
        </is>
      </c>
      <c r="C1325" t="inlineStr">
        <is>
          <t>IA</t>
        </is>
      </c>
      <c r="D1325" t="inlineStr">
        <is>
          <t>Micropolitan</t>
        </is>
      </c>
      <c r="E1325" s="5" t="n">
        <v>558</v>
      </c>
      <c r="F1325" s="4" t="n">
        <v>0.7168458781362007</v>
      </c>
      <c r="G1325" s="4" t="n">
        <v>0.6953176797894658</v>
      </c>
      <c r="H1325" s="3" t="n">
        <v>8233907.69388561</v>
      </c>
      <c r="I1325" s="3" t="n">
        <v>-225598.3008263204</v>
      </c>
      <c r="J1325" s="4" t="n">
        <v>-0.0273986919957636</v>
      </c>
      <c r="K1325">
        <f>IF(AND(I1325&gt;0,J1325&gt;=Assumptions!$B$4),1,0)</f>
        <v/>
      </c>
      <c r="L1325" s="3">
        <f>I1325*K1325</f>
        <v/>
      </c>
      <c r="M1325">
        <f>SUM($K$2:K1325)</f>
        <v/>
      </c>
    </row>
    <row r="1326">
      <c r="A1326" t="inlineStr">
        <is>
          <t>160117</t>
        </is>
      </c>
      <c r="B1326" t="inlineStr">
        <is>
          <t>Finley Hospital</t>
        </is>
      </c>
      <c r="C1326" t="inlineStr">
        <is>
          <t>IA</t>
        </is>
      </c>
      <c r="D1326" t="inlineStr">
        <is>
          <t>Metropolitan</t>
        </is>
      </c>
      <c r="E1326" s="5" t="n">
        <v>826</v>
      </c>
      <c r="F1326" s="4" t="n">
        <v>0.7239709443099274</v>
      </c>
      <c r="G1326" s="4" t="n">
        <v>0.6843810042938563</v>
      </c>
      <c r="H1326" s="3" t="n">
        <v>11746387.28532593</v>
      </c>
      <c r="I1326" s="3" t="n">
        <v>-226545.9902602956</v>
      </c>
      <c r="J1326" s="4" t="n">
        <v>-0.0192864397160909</v>
      </c>
      <c r="K1326">
        <f>IF(AND(I1326&gt;0,J1326&gt;=Assumptions!$B$4),1,0)</f>
        <v/>
      </c>
      <c r="L1326" s="3">
        <f>I1326*K1326</f>
        <v/>
      </c>
      <c r="M1326">
        <f>SUM($K$2:K1326)</f>
        <v/>
      </c>
    </row>
    <row r="1327">
      <c r="A1327" t="inlineStr">
        <is>
          <t>230099</t>
        </is>
      </c>
      <c r="B1327" t="inlineStr">
        <is>
          <t>Promedica Monroe Regional Hospital</t>
        </is>
      </c>
      <c r="C1327" t="inlineStr">
        <is>
          <t>MI</t>
        </is>
      </c>
      <c r="D1327" t="inlineStr">
        <is>
          <t>Metropolitan</t>
        </is>
      </c>
      <c r="E1327" s="5" t="n">
        <v>738</v>
      </c>
      <c r="F1327" s="4" t="n">
        <v>0.6937669376693767</v>
      </c>
      <c r="G1327" s="4" t="n">
        <v>0.66456548098974</v>
      </c>
      <c r="H1327" s="3" t="n">
        <v>9180369.795630939</v>
      </c>
      <c r="I1327" s="3" t="n">
        <v>-229138.5214211866</v>
      </c>
      <c r="J1327" s="4" t="n">
        <v>-0.0249596178064893</v>
      </c>
      <c r="K1327">
        <f>IF(AND(I1327&gt;0,J1327&gt;=Assumptions!$B$4),1,0)</f>
        <v/>
      </c>
      <c r="L1327" s="3">
        <f>I1327*K1327</f>
        <v/>
      </c>
      <c r="M1327">
        <f>SUM($K$2:K1327)</f>
        <v/>
      </c>
    </row>
    <row r="1328">
      <c r="A1328" t="inlineStr">
        <is>
          <t>290019</t>
        </is>
      </c>
      <c r="B1328" t="inlineStr">
        <is>
          <t>Carson Tahoe Regional Medical Center</t>
        </is>
      </c>
      <c r="C1328" t="inlineStr">
        <is>
          <t>NV</t>
        </is>
      </c>
      <c r="D1328" t="inlineStr">
        <is>
          <t>Metropolitan</t>
        </is>
      </c>
      <c r="E1328" s="5" t="n">
        <v>2013</v>
      </c>
      <c r="F1328" s="4" t="n">
        <v>0.6398410332836563</v>
      </c>
      <c r="G1328" s="4" t="n">
        <v>0.6090022540291598</v>
      </c>
      <c r="H1328" s="3" t="n">
        <v>30876693.7142341</v>
      </c>
      <c r="I1328" s="3" t="n">
        <v>-229394.4958162605</v>
      </c>
      <c r="J1328" s="4" t="n">
        <v>-0.0074293736868112</v>
      </c>
      <c r="K1328">
        <f>IF(AND(I1328&gt;0,J1328&gt;=Assumptions!$B$4),1,0)</f>
        <v/>
      </c>
      <c r="L1328" s="3">
        <f>I1328*K1328</f>
        <v/>
      </c>
      <c r="M1328">
        <f>SUM($K$2:K1328)</f>
        <v/>
      </c>
    </row>
    <row r="1329">
      <c r="A1329" t="inlineStr">
        <is>
          <t>100232</t>
        </is>
      </c>
      <c r="B1329" t="inlineStr">
        <is>
          <t>Hca Florida Putnam Hospital</t>
        </is>
      </c>
      <c r="C1329" t="inlineStr">
        <is>
          <t>FL</t>
        </is>
      </c>
      <c r="D1329" t="inlineStr">
        <is>
          <t>Micropolitan</t>
        </is>
      </c>
      <c r="E1329" s="5" t="n">
        <v>721</v>
      </c>
      <c r="F1329" s="4" t="n">
        <v>0.7281553398058253</v>
      </c>
      <c r="G1329" s="4" t="n">
        <v>0.6995804349018353</v>
      </c>
      <c r="H1329" s="3" t="n">
        <v>9409452.454804294</v>
      </c>
      <c r="I1329" s="3" t="n">
        <v>-229684.9182659201</v>
      </c>
      <c r="J1329" s="4" t="n">
        <v>-0.0244100195382407</v>
      </c>
      <c r="K1329">
        <f>IF(AND(I1329&gt;0,J1329&gt;=Assumptions!$B$4),1,0)</f>
        <v/>
      </c>
      <c r="L1329" s="3">
        <f>I1329*K1329</f>
        <v/>
      </c>
      <c r="M1329">
        <f>SUM($K$2:K1329)</f>
        <v/>
      </c>
    </row>
    <row r="1330">
      <c r="A1330" t="inlineStr">
        <is>
          <t>440030</t>
        </is>
      </c>
      <c r="B1330" t="inlineStr">
        <is>
          <t>Morristown Hamblen Hospital Association</t>
        </is>
      </c>
      <c r="C1330" t="inlineStr">
        <is>
          <t>TN</t>
        </is>
      </c>
      <c r="D1330" t="inlineStr">
        <is>
          <t>Metropolitan</t>
        </is>
      </c>
      <c r="E1330" s="5" t="n">
        <v>686</v>
      </c>
      <c r="F1330" s="4" t="n">
        <v>0.7259475218658892</v>
      </c>
      <c r="G1330" s="4" t="n">
        <v>0.6798822600014754</v>
      </c>
      <c r="H1330" s="3" t="n">
        <v>9529071.119014112</v>
      </c>
      <c r="I1330" s="3" t="n">
        <v>-229884.1812168434</v>
      </c>
      <c r="J1330" s="4" t="n">
        <v>-0.0241245110195617</v>
      </c>
      <c r="K1330">
        <f>IF(AND(I1330&gt;0,J1330&gt;=Assumptions!$B$4),1,0)</f>
        <v/>
      </c>
      <c r="L1330" s="3">
        <f>I1330*K1330</f>
        <v/>
      </c>
      <c r="M1330">
        <f>SUM($K$2:K1330)</f>
        <v/>
      </c>
    </row>
    <row r="1331">
      <c r="A1331" t="inlineStr">
        <is>
          <t>380051</t>
        </is>
      </c>
      <c r="B1331" t="inlineStr">
        <is>
          <t>Salem Hospital</t>
        </is>
      </c>
      <c r="C1331" t="inlineStr">
        <is>
          <t>OR</t>
        </is>
      </c>
      <c r="D1331" t="inlineStr">
        <is>
          <t>Metropolitan</t>
        </is>
      </c>
      <c r="E1331" s="5" t="n">
        <v>2654</v>
      </c>
      <c r="F1331" s="4" t="n">
        <v>0.6458176337603617</v>
      </c>
      <c r="G1331" s="4" t="n">
        <v>0.6226301371127985</v>
      </c>
      <c r="H1331" s="3" t="n">
        <v>42648147.87589134</v>
      </c>
      <c r="I1331" s="3" t="n">
        <v>-231577.8981039226</v>
      </c>
      <c r="J1331" s="4" t="n">
        <v>-0.0054299637765707</v>
      </c>
      <c r="K1331">
        <f>IF(AND(I1331&gt;0,J1331&gt;=Assumptions!$B$4),1,0)</f>
        <v/>
      </c>
      <c r="L1331" s="3">
        <f>I1331*K1331</f>
        <v/>
      </c>
      <c r="M1331">
        <f>SUM($K$2:K1331)</f>
        <v/>
      </c>
    </row>
    <row r="1332">
      <c r="A1332" t="inlineStr">
        <is>
          <t>370018</t>
        </is>
      </c>
      <c r="B1332" t="inlineStr">
        <is>
          <t>Ascension St John Jane Phillips</t>
        </is>
      </c>
      <c r="C1332" t="inlineStr">
        <is>
          <t>OK</t>
        </is>
      </c>
      <c r="D1332" t="inlineStr">
        <is>
          <t>Micropolitan</t>
        </is>
      </c>
      <c r="E1332" s="5" t="n">
        <v>902</v>
      </c>
      <c r="F1332" s="4" t="n">
        <v>0.7283813747228381</v>
      </c>
      <c r="G1332" s="4" t="n">
        <v>0.6837630893472734</v>
      </c>
      <c r="H1332" s="3" t="n">
        <v>12622046.86438227</v>
      </c>
      <c r="I1332" s="3" t="n">
        <v>-231591.3440365605</v>
      </c>
      <c r="J1332" s="4" t="n">
        <v>-0.0183481606846255</v>
      </c>
      <c r="K1332">
        <f>IF(AND(I1332&gt;0,J1332&gt;=Assumptions!$B$4),1,0)</f>
        <v/>
      </c>
      <c r="L1332" s="3">
        <f>I1332*K1332</f>
        <v/>
      </c>
      <c r="M1332">
        <f>SUM($K$2:K1332)</f>
        <v/>
      </c>
    </row>
    <row r="1333">
      <c r="A1333" t="inlineStr">
        <is>
          <t>010078</t>
        </is>
      </c>
      <c r="B1333" t="inlineStr">
        <is>
          <t>Northeast Alabama Regional Medical Center</t>
        </is>
      </c>
      <c r="C1333" t="inlineStr">
        <is>
          <t>AL</t>
        </is>
      </c>
      <c r="D1333" t="inlineStr">
        <is>
          <t>Metropolitan</t>
        </is>
      </c>
      <c r="E1333" s="5" t="n">
        <v>1418</v>
      </c>
      <c r="F1333" s="4" t="n">
        <v>0.5909732016925247</v>
      </c>
      <c r="G1333" s="4" t="n">
        <v>0.6016749192114362</v>
      </c>
      <c r="H1333" s="3" t="n">
        <v>18942781.75879491</v>
      </c>
      <c r="I1333" s="3" t="n">
        <v>-233860.1006446071</v>
      </c>
      <c r="J1333" s="4" t="n">
        <v>-0.0123456049709292</v>
      </c>
      <c r="K1333">
        <f>IF(AND(I1333&gt;0,J1333&gt;=Assumptions!$B$4),1,0)</f>
        <v/>
      </c>
      <c r="L1333" s="3">
        <f>I1333*K1333</f>
        <v/>
      </c>
      <c r="M1333">
        <f>SUM($K$2:K1333)</f>
        <v/>
      </c>
    </row>
    <row r="1334">
      <c r="A1334" t="inlineStr">
        <is>
          <t>050335</t>
        </is>
      </c>
      <c r="B1334" t="inlineStr">
        <is>
          <t>Adventist Health Sonora</t>
        </is>
      </c>
      <c r="C1334" t="inlineStr">
        <is>
          <t>CA</t>
        </is>
      </c>
      <c r="D1334" t="inlineStr">
        <is>
          <t>Micropolitan</t>
        </is>
      </c>
      <c r="E1334" s="5" t="n">
        <v>1226</v>
      </c>
      <c r="F1334" s="4" t="n">
        <v>0.6745513866231647</v>
      </c>
      <c r="G1334" s="4" t="n">
        <v>0.6516420361784555</v>
      </c>
      <c r="H1334" s="3" t="n">
        <v>20186035.2477109</v>
      </c>
      <c r="I1334" s="3" t="n">
        <v>-233960.3372839503</v>
      </c>
      <c r="J1334" s="4" t="n">
        <v>-0.0115902075079593</v>
      </c>
      <c r="K1334">
        <f>IF(AND(I1334&gt;0,J1334&gt;=Assumptions!$B$4),1,0)</f>
        <v/>
      </c>
      <c r="L1334" s="3">
        <f>I1334*K1334</f>
        <v/>
      </c>
      <c r="M1334">
        <f>SUM($K$2:K1334)</f>
        <v/>
      </c>
    </row>
    <row r="1335">
      <c r="A1335" t="inlineStr">
        <is>
          <t>390110</t>
        </is>
      </c>
      <c r="B1335" t="inlineStr">
        <is>
          <t>Conemaugh Memorial Medical Center</t>
        </is>
      </c>
      <c r="C1335" t="inlineStr">
        <is>
          <t>PA</t>
        </is>
      </c>
      <c r="D1335" t="inlineStr">
        <is>
          <t>Metropolitan</t>
        </is>
      </c>
      <c r="E1335" s="5" t="n">
        <v>977</v>
      </c>
      <c r="F1335" s="4" t="n">
        <v>0.676560900716479</v>
      </c>
      <c r="G1335" s="4" t="n">
        <v>0.651875383307261</v>
      </c>
      <c r="H1335" s="3" t="n">
        <v>14972261.74698644</v>
      </c>
      <c r="I1335" s="3" t="n">
        <v>-234662.6079731118</v>
      </c>
      <c r="J1335" s="4" t="n">
        <v>-0.015673156931039</v>
      </c>
      <c r="K1335">
        <f>IF(AND(I1335&gt;0,J1335&gt;=Assumptions!$B$4),1,0)</f>
        <v/>
      </c>
      <c r="L1335" s="3">
        <f>I1335*K1335</f>
        <v/>
      </c>
      <c r="M1335">
        <f>SUM($K$2:K1335)</f>
        <v/>
      </c>
    </row>
    <row r="1336">
      <c r="A1336" t="inlineStr">
        <is>
          <t>140130</t>
        </is>
      </c>
      <c r="B1336" t="inlineStr">
        <is>
          <t>Northwestern Lake Forest Hospital</t>
        </is>
      </c>
      <c r="C1336" t="inlineStr">
        <is>
          <t>IL</t>
        </is>
      </c>
      <c r="D1336" t="inlineStr">
        <is>
          <t>Metropolitan</t>
        </is>
      </c>
      <c r="E1336" s="5" t="n">
        <v>2718</v>
      </c>
      <c r="F1336" s="4" t="n">
        <v>0.5791022810890361</v>
      </c>
      <c r="G1336" s="4" t="n">
        <v>0.5893168275193879</v>
      </c>
      <c r="H1336" s="3" t="n">
        <v>39164750.62316256</v>
      </c>
      <c r="I1336" s="3" t="n">
        <v>-234947.8778605163</v>
      </c>
      <c r="J1336" s="4" t="n">
        <v>-0.0059989626927833</v>
      </c>
      <c r="K1336">
        <f>IF(AND(I1336&gt;0,J1336&gt;=Assumptions!$B$4),1,0)</f>
        <v/>
      </c>
      <c r="L1336" s="3">
        <f>I1336*K1336</f>
        <v/>
      </c>
      <c r="M1336">
        <f>SUM($K$2:K1336)</f>
        <v/>
      </c>
    </row>
    <row r="1337">
      <c r="A1337" t="inlineStr">
        <is>
          <t>040041</t>
        </is>
      </c>
      <c r="B1337" t="inlineStr">
        <is>
          <t>St Marys Regional Medical Center</t>
        </is>
      </c>
      <c r="C1337" t="inlineStr">
        <is>
          <t>AR</t>
        </is>
      </c>
      <c r="D1337" t="inlineStr">
        <is>
          <t>Micropolitan</t>
        </is>
      </c>
      <c r="E1337" s="5" t="n">
        <v>472</v>
      </c>
      <c r="F1337" s="4" t="n">
        <v>0.7711864406779662</v>
      </c>
      <c r="G1337" s="4" t="n">
        <v>0.6893505511442032</v>
      </c>
      <c r="H1337" s="3" t="n">
        <v>6857675.238846581</v>
      </c>
      <c r="I1337" s="3" t="n">
        <v>-236156.38632451</v>
      </c>
      <c r="J1337" s="4" t="n">
        <v>-0.0344367993670446</v>
      </c>
      <c r="K1337">
        <f>IF(AND(I1337&gt;0,J1337&gt;=Assumptions!$B$4),1,0)</f>
        <v/>
      </c>
      <c r="L1337" s="3">
        <f>I1337*K1337</f>
        <v/>
      </c>
      <c r="M1337">
        <f>SUM($K$2:K1337)</f>
        <v/>
      </c>
    </row>
    <row r="1338">
      <c r="A1338" t="inlineStr">
        <is>
          <t>030069</t>
        </is>
      </c>
      <c r="B1338" t="inlineStr">
        <is>
          <t>Havasu Regional Medical Center</t>
        </is>
      </c>
      <c r="C1338" t="inlineStr">
        <is>
          <t>AZ</t>
        </is>
      </c>
      <c r="D1338" t="inlineStr">
        <is>
          <t>Metropolitan</t>
        </is>
      </c>
      <c r="E1338" s="5" t="n">
        <v>822</v>
      </c>
      <c r="F1338" s="4" t="n">
        <v>0.6399026763990268</v>
      </c>
      <c r="G1338" s="4" t="n">
        <v>0.6186583219040964</v>
      </c>
      <c r="H1338" s="3" t="n">
        <v>12901376.45911688</v>
      </c>
      <c r="I1338" s="3" t="n">
        <v>-237210.5616160966</v>
      </c>
      <c r="J1338" s="4" t="n">
        <v>-0.0183864537530388</v>
      </c>
      <c r="K1338">
        <f>IF(AND(I1338&gt;0,J1338&gt;=Assumptions!$B$4),1,0)</f>
        <v/>
      </c>
      <c r="L1338" s="3">
        <f>I1338*K1338</f>
        <v/>
      </c>
      <c r="M1338">
        <f>SUM($K$2:K1338)</f>
        <v/>
      </c>
    </row>
    <row r="1339">
      <c r="A1339" t="inlineStr">
        <is>
          <t>140304</t>
        </is>
      </c>
      <c r="B1339" t="inlineStr">
        <is>
          <t>Uchicago Medicine Adventhealth Bolingbrook</t>
        </is>
      </c>
      <c r="C1339" t="inlineStr">
        <is>
          <t>IL</t>
        </is>
      </c>
      <c r="D1339" t="inlineStr">
        <is>
          <t>Metropolitan</t>
        </is>
      </c>
      <c r="E1339" s="5" t="n">
        <v>650</v>
      </c>
      <c r="F1339" s="4" t="n">
        <v>0.7384615384615385</v>
      </c>
      <c r="G1339" s="4" t="n">
        <v>0.6927876215019929</v>
      </c>
      <c r="H1339" s="3" t="n">
        <v>9196702.286240015</v>
      </c>
      <c r="I1339" s="3" t="n">
        <v>-237933.4605256375</v>
      </c>
      <c r="J1339" s="4" t="n">
        <v>-0.025871606269307</v>
      </c>
      <c r="K1339">
        <f>IF(AND(I1339&gt;0,J1339&gt;=Assumptions!$B$4),1,0)</f>
        <v/>
      </c>
      <c r="L1339" s="3">
        <f>I1339*K1339</f>
        <v/>
      </c>
      <c r="M1339">
        <f>SUM($K$2:K1339)</f>
        <v/>
      </c>
    </row>
    <row r="1340">
      <c r="A1340" t="inlineStr">
        <is>
          <t>450024</t>
        </is>
      </c>
      <c r="B1340" t="inlineStr">
        <is>
          <t>University Medical Center Of El Paso</t>
        </is>
      </c>
      <c r="C1340" t="inlineStr">
        <is>
          <t>TX</t>
        </is>
      </c>
      <c r="D1340" t="inlineStr">
        <is>
          <t>Metropolitan</t>
        </is>
      </c>
      <c r="E1340" s="5" t="n">
        <v>504</v>
      </c>
      <c r="F1340" s="4" t="n">
        <v>0.621031746031746</v>
      </c>
      <c r="G1340" s="4" t="n">
        <v>0.5781121049394471</v>
      </c>
      <c r="H1340" s="3" t="n">
        <v>8145925.207312833</v>
      </c>
      <c r="I1340" s="3" t="n">
        <v>-237956.5008173827</v>
      </c>
      <c r="J1340" s="4" t="n">
        <v>-0.0292117217825376</v>
      </c>
      <c r="K1340">
        <f>IF(AND(I1340&gt;0,J1340&gt;=Assumptions!$B$4),1,0)</f>
        <v/>
      </c>
      <c r="L1340" s="3">
        <f>I1340*K1340</f>
        <v/>
      </c>
      <c r="M1340">
        <f>SUM($K$2:K1340)</f>
        <v/>
      </c>
    </row>
    <row r="1341">
      <c r="A1341" t="inlineStr">
        <is>
          <t>370049</t>
        </is>
      </c>
      <c r="B1341" t="inlineStr">
        <is>
          <t>Stillwater Medical Center</t>
        </is>
      </c>
      <c r="C1341" t="inlineStr">
        <is>
          <t>OK</t>
        </is>
      </c>
      <c r="D1341" t="inlineStr">
        <is>
          <t>Micropolitan</t>
        </is>
      </c>
      <c r="E1341" s="5" t="n">
        <v>1131</v>
      </c>
      <c r="F1341" s="4" t="n">
        <v>0.6127320954907162</v>
      </c>
      <c r="G1341" s="4" t="n">
        <v>0.636950763292234</v>
      </c>
      <c r="H1341" s="3" t="n">
        <v>16076863.25370842</v>
      </c>
      <c r="I1341" s="3" t="n">
        <v>-238094.3161813803</v>
      </c>
      <c r="J1341" s="4" t="n">
        <v>-0.0148097494159166</v>
      </c>
      <c r="K1341">
        <f>IF(AND(I1341&gt;0,J1341&gt;=Assumptions!$B$4),1,0)</f>
        <v/>
      </c>
      <c r="L1341" s="3">
        <f>I1341*K1341</f>
        <v/>
      </c>
      <c r="M1341">
        <f>SUM($K$2:K1341)</f>
        <v/>
      </c>
    </row>
    <row r="1342">
      <c r="A1342" t="inlineStr">
        <is>
          <t>330239</t>
        </is>
      </c>
      <c r="B1342" t="inlineStr">
        <is>
          <t>Upmc Chautauqua At Wca</t>
        </is>
      </c>
      <c r="C1342" t="inlineStr">
        <is>
          <t>NY</t>
        </is>
      </c>
      <c r="D1342" t="inlineStr">
        <is>
          <t>Micropolitan</t>
        </is>
      </c>
      <c r="E1342" s="5" t="n">
        <v>538</v>
      </c>
      <c r="F1342" s="4" t="n">
        <v>0.741635687732342</v>
      </c>
      <c r="G1342" s="4" t="n">
        <v>0.6890160523569917</v>
      </c>
      <c r="H1342" s="3" t="n">
        <v>7185189.952861488</v>
      </c>
      <c r="I1342" s="3" t="n">
        <v>-239300.0919960001</v>
      </c>
      <c r="J1342" s="4" t="n">
        <v>-0.0333046298797847</v>
      </c>
      <c r="K1342">
        <f>IF(AND(I1342&gt;0,J1342&gt;=Assumptions!$B$4),1,0)</f>
        <v/>
      </c>
      <c r="L1342" s="3">
        <f>I1342*K1342</f>
        <v/>
      </c>
      <c r="M1342">
        <f>SUM($K$2:K1342)</f>
        <v/>
      </c>
    </row>
    <row r="1343">
      <c r="A1343" t="inlineStr">
        <is>
          <t>450596</t>
        </is>
      </c>
      <c r="B1343" t="inlineStr">
        <is>
          <t>Lake Granbury Medical Center</t>
        </is>
      </c>
      <c r="C1343" t="inlineStr">
        <is>
          <t>TX</t>
        </is>
      </c>
      <c r="D1343" t="inlineStr">
        <is>
          <t>Micropolitan</t>
        </is>
      </c>
      <c r="E1343" s="5" t="n">
        <v>356</v>
      </c>
      <c r="F1343" s="4" t="n">
        <v>0.7696629213483146</v>
      </c>
      <c r="G1343" s="4" t="n">
        <v>0.6687460321646098</v>
      </c>
      <c r="H1343" s="3" t="n">
        <v>5194324.039074574</v>
      </c>
      <c r="I1343" s="3" t="n">
        <v>-240079.9405772267</v>
      </c>
      <c r="J1343" s="4" t="n">
        <v>-0.046219669541448</v>
      </c>
      <c r="K1343">
        <f>IF(AND(I1343&gt;0,J1343&gt;=Assumptions!$B$4),1,0)</f>
        <v/>
      </c>
      <c r="L1343" s="3">
        <f>I1343*K1343</f>
        <v/>
      </c>
      <c r="M1343">
        <f>SUM($K$2:K1343)</f>
        <v/>
      </c>
    </row>
    <row r="1344">
      <c r="A1344" t="inlineStr">
        <is>
          <t>070027</t>
        </is>
      </c>
      <c r="B1344" t="inlineStr">
        <is>
          <t>Manchester Memorial Hospital</t>
        </is>
      </c>
      <c r="C1344" t="inlineStr">
        <is>
          <t>CT</t>
        </is>
      </c>
      <c r="D1344" t="inlineStr">
        <is>
          <t>Metropolitan</t>
        </is>
      </c>
      <c r="E1344" s="5" t="n">
        <v>689</v>
      </c>
      <c r="F1344" s="4" t="n">
        <v>0.7402031930333817</v>
      </c>
      <c r="G1344" s="4" t="n">
        <v>0.6800020018407216</v>
      </c>
      <c r="H1344" s="3" t="n">
        <v>9635700.427422376</v>
      </c>
      <c r="I1344" s="3" t="n">
        <v>-240603.261594953</v>
      </c>
      <c r="J1344" s="4" t="n">
        <v>-0.024969981518958</v>
      </c>
      <c r="K1344">
        <f>IF(AND(I1344&gt;0,J1344&gt;=Assumptions!$B$4),1,0)</f>
        <v/>
      </c>
      <c r="L1344" s="3">
        <f>I1344*K1344</f>
        <v/>
      </c>
      <c r="M1344">
        <f>SUM($K$2:K1344)</f>
        <v/>
      </c>
    </row>
    <row r="1345">
      <c r="A1345" t="inlineStr">
        <is>
          <t>070016</t>
        </is>
      </c>
      <c r="B1345" t="inlineStr">
        <is>
          <t>Saint Mary's Hospital</t>
        </is>
      </c>
      <c r="C1345" t="inlineStr">
        <is>
          <t>CT</t>
        </is>
      </c>
      <c r="D1345" t="inlineStr">
        <is>
          <t>Metropolitan</t>
        </is>
      </c>
      <c r="E1345" s="5" t="n">
        <v>889</v>
      </c>
      <c r="F1345" s="4" t="n">
        <v>0.7469066366704162</v>
      </c>
      <c r="G1345" s="4" t="n">
        <v>0.676138202706568</v>
      </c>
      <c r="H1345" s="3" t="n">
        <v>12788794.61024715</v>
      </c>
      <c r="I1345" s="3" t="n">
        <v>-240692.1242967024</v>
      </c>
      <c r="J1345" s="4" t="n">
        <v>-0.0188205481151324</v>
      </c>
      <c r="K1345">
        <f>IF(AND(I1345&gt;0,J1345&gt;=Assumptions!$B$4),1,0)</f>
        <v/>
      </c>
      <c r="L1345" s="3">
        <f>I1345*K1345</f>
        <v/>
      </c>
      <c r="M1345">
        <f>SUM($K$2:K1345)</f>
        <v/>
      </c>
    </row>
    <row r="1346">
      <c r="A1346" t="inlineStr">
        <is>
          <t>490022</t>
        </is>
      </c>
      <c r="B1346" t="inlineStr">
        <is>
          <t>Mary Washington Hospital, Inc</t>
        </is>
      </c>
      <c r="C1346" t="inlineStr">
        <is>
          <t>VA</t>
        </is>
      </c>
      <c r="D1346" t="inlineStr">
        <is>
          <t>Metropolitan</t>
        </is>
      </c>
      <c r="E1346" s="5" t="n">
        <v>5231</v>
      </c>
      <c r="F1346" s="4" t="n">
        <v>0.5796214872873255</v>
      </c>
      <c r="G1346" s="4" t="n">
        <v>0.5704747890226139</v>
      </c>
      <c r="H1346" s="3" t="n">
        <v>84947043.14269914</v>
      </c>
      <c r="I1346" s="3" t="n">
        <v>-240934.8371549845</v>
      </c>
      <c r="J1346" s="4" t="n">
        <v>-0.0028362945694324</v>
      </c>
      <c r="K1346">
        <f>IF(AND(I1346&gt;0,J1346&gt;=Assumptions!$B$4),1,0)</f>
        <v/>
      </c>
      <c r="L1346" s="3">
        <f>I1346*K1346</f>
        <v/>
      </c>
      <c r="M1346">
        <f>SUM($K$2:K1346)</f>
        <v/>
      </c>
    </row>
    <row r="1347">
      <c r="A1347" t="inlineStr">
        <is>
          <t>050761</t>
        </is>
      </c>
      <c r="B1347" t="inlineStr">
        <is>
          <t>Providence Cedars Sinai Tarzana Medical Center</t>
        </is>
      </c>
      <c r="C1347" t="inlineStr">
        <is>
          <t>CA</t>
        </is>
      </c>
      <c r="D1347" t="inlineStr">
        <is>
          <t>Metropolitan</t>
        </is>
      </c>
      <c r="E1347" s="5" t="n">
        <v>2307</v>
      </c>
      <c r="F1347" s="4" t="n">
        <v>0.6046814044213265</v>
      </c>
      <c r="G1347" s="4" t="n">
        <v>0.5953767113876153</v>
      </c>
      <c r="H1347" s="3" t="n">
        <v>32603797.57374365</v>
      </c>
      <c r="I1347" s="3" t="n">
        <v>-242582.7495228164</v>
      </c>
      <c r="J1347" s="4" t="n">
        <v>-0.0074403219126281</v>
      </c>
      <c r="K1347">
        <f>IF(AND(I1347&gt;0,J1347&gt;=Assumptions!$B$4),1,0)</f>
        <v/>
      </c>
      <c r="L1347" s="3">
        <f>I1347*K1347</f>
        <v/>
      </c>
      <c r="M1347">
        <f>SUM($K$2:K1347)</f>
        <v/>
      </c>
    </row>
    <row r="1348">
      <c r="A1348" t="inlineStr">
        <is>
          <t>310119</t>
        </is>
      </c>
      <c r="B1348" t="inlineStr">
        <is>
          <t>University Hospital</t>
        </is>
      </c>
      <c r="C1348" t="inlineStr">
        <is>
          <t>NJ</t>
        </is>
      </c>
      <c r="D1348" t="inlineStr">
        <is>
          <t>Metropolitan</t>
        </is>
      </c>
      <c r="E1348" s="5" t="n">
        <v>413</v>
      </c>
      <c r="F1348" s="4" t="n">
        <v>0.7554479418886199</v>
      </c>
      <c r="G1348" s="4" t="n">
        <v>0.7029112088376255</v>
      </c>
      <c r="H1348" s="3" t="n">
        <v>6349140.928599527</v>
      </c>
      <c r="I1348" s="3" t="n">
        <v>-242975.6555044949</v>
      </c>
      <c r="J1348" s="4" t="n">
        <v>-0.0382690600566161</v>
      </c>
      <c r="K1348">
        <f>IF(AND(I1348&gt;0,J1348&gt;=Assumptions!$B$4),1,0)</f>
        <v/>
      </c>
      <c r="L1348" s="3">
        <f>I1348*K1348</f>
        <v/>
      </c>
      <c r="M1348">
        <f>SUM($K$2:K1348)</f>
        <v/>
      </c>
    </row>
    <row r="1349">
      <c r="A1349" t="inlineStr">
        <is>
          <t>260193</t>
        </is>
      </c>
      <c r="B1349" t="inlineStr">
        <is>
          <t>St Mary's Medical Center</t>
        </is>
      </c>
      <c r="C1349" t="inlineStr">
        <is>
          <t>MO</t>
        </is>
      </c>
      <c r="D1349" t="inlineStr">
        <is>
          <t>Metropolitan</t>
        </is>
      </c>
      <c r="E1349" s="5" t="n">
        <v>324</v>
      </c>
      <c r="F1349" s="4" t="n">
        <v>0.8765432098765432</v>
      </c>
      <c r="G1349" s="4" t="n">
        <v>0.760073895252703</v>
      </c>
      <c r="H1349" s="3" t="n">
        <v>4438824.936831471</v>
      </c>
      <c r="I1349" s="3" t="n">
        <v>-243126.2880021492</v>
      </c>
      <c r="J1349" s="4" t="n">
        <v>-0.0547726687720417</v>
      </c>
      <c r="K1349">
        <f>IF(AND(I1349&gt;0,J1349&gt;=Assumptions!$B$4),1,0)</f>
        <v/>
      </c>
      <c r="L1349" s="3">
        <f>I1349*K1349</f>
        <v/>
      </c>
      <c r="M1349">
        <f>SUM($K$2:K1349)</f>
        <v/>
      </c>
    </row>
    <row r="1350">
      <c r="A1350" t="inlineStr">
        <is>
          <t>390185</t>
        </is>
      </c>
      <c r="B1350" t="inlineStr">
        <is>
          <t>Lehigh Valley Hospital - Hazleton</t>
        </is>
      </c>
      <c r="C1350" t="inlineStr">
        <is>
          <t>PA</t>
        </is>
      </c>
      <c r="D1350" t="inlineStr">
        <is>
          <t>Metropolitan</t>
        </is>
      </c>
      <c r="E1350" s="5" t="n">
        <v>879</v>
      </c>
      <c r="F1350" s="4" t="n">
        <v>0.6575654152445961</v>
      </c>
      <c r="G1350" s="4" t="n">
        <v>0.6505481418652774</v>
      </c>
      <c r="H1350" s="3" t="n">
        <v>11994300.40962031</v>
      </c>
      <c r="I1350" s="3" t="n">
        <v>-244757.4629543293</v>
      </c>
      <c r="J1350" s="4" t="n">
        <v>-0.0204061474696778</v>
      </c>
      <c r="K1350">
        <f>IF(AND(I1350&gt;0,J1350&gt;=Assumptions!$B$4),1,0)</f>
        <v/>
      </c>
      <c r="L1350" s="3">
        <f>I1350*K1350</f>
        <v/>
      </c>
      <c r="M1350">
        <f>SUM($K$2:K1350)</f>
        <v/>
      </c>
    </row>
    <row r="1351">
      <c r="A1351" t="inlineStr">
        <is>
          <t>050444</t>
        </is>
      </c>
      <c r="B1351" t="inlineStr">
        <is>
          <t>Mercy Medical Center</t>
        </is>
      </c>
      <c r="C1351" t="inlineStr">
        <is>
          <t>CA</t>
        </is>
      </c>
      <c r="D1351" t="inlineStr">
        <is>
          <t>Metropolitan</t>
        </is>
      </c>
      <c r="E1351" s="5" t="n">
        <v>2014</v>
      </c>
      <c r="F1351" s="4" t="n">
        <v>0.6956305858987091</v>
      </c>
      <c r="G1351" s="4" t="n">
        <v>0.6695437237094485</v>
      </c>
      <c r="H1351" s="3" t="n">
        <v>28504781.72557793</v>
      </c>
      <c r="I1351" s="3" t="n">
        <v>-245804.5731361583</v>
      </c>
      <c r="J1351" s="4" t="n">
        <v>-0.0086232750526762</v>
      </c>
      <c r="K1351">
        <f>IF(AND(I1351&gt;0,J1351&gt;=Assumptions!$B$4),1,0)</f>
        <v/>
      </c>
      <c r="L1351" s="3">
        <f>I1351*K1351</f>
        <v/>
      </c>
      <c r="M1351">
        <f>SUM($K$2:K1351)</f>
        <v/>
      </c>
    </row>
    <row r="1352">
      <c r="A1352" t="inlineStr">
        <is>
          <t>050393</t>
        </is>
      </c>
      <c r="B1352" t="inlineStr">
        <is>
          <t>Pih Health Downey Hospital</t>
        </is>
      </c>
      <c r="C1352" t="inlineStr">
        <is>
          <t>CA</t>
        </is>
      </c>
      <c r="D1352" t="inlineStr">
        <is>
          <t>Metropolitan</t>
        </is>
      </c>
      <c r="E1352" s="5" t="n">
        <v>814</v>
      </c>
      <c r="F1352" s="4" t="n">
        <v>0.7567567567567568</v>
      </c>
      <c r="G1352" s="4" t="n">
        <v>0.7162887246107209</v>
      </c>
      <c r="H1352" s="3" t="n">
        <v>11239945.70830707</v>
      </c>
      <c r="I1352" s="3" t="n">
        <v>-245845.5108599625</v>
      </c>
      <c r="J1352" s="4" t="n">
        <v>-0.0218724820599681</v>
      </c>
      <c r="K1352">
        <f>IF(AND(I1352&gt;0,J1352&gt;=Assumptions!$B$4),1,0)</f>
        <v/>
      </c>
      <c r="L1352" s="3">
        <f>I1352*K1352</f>
        <v/>
      </c>
      <c r="M1352">
        <f>SUM($K$2:K1352)</f>
        <v/>
      </c>
    </row>
    <row r="1353">
      <c r="A1353" t="inlineStr">
        <is>
          <t>360133</t>
        </is>
      </c>
      <c r="B1353" t="inlineStr">
        <is>
          <t>Kettering Health Dayton</t>
        </is>
      </c>
      <c r="C1353" t="inlineStr">
        <is>
          <t>OH</t>
        </is>
      </c>
      <c r="D1353" t="inlineStr">
        <is>
          <t>Metropolitan</t>
        </is>
      </c>
      <c r="E1353" s="5" t="n">
        <v>1289</v>
      </c>
      <c r="F1353" s="4" t="n">
        <v>0.5779674166020171</v>
      </c>
      <c r="G1353" s="4" t="n">
        <v>0.5761662477756118</v>
      </c>
      <c r="H1353" s="3" t="n">
        <v>19312877.61320732</v>
      </c>
      <c r="I1353" s="3" t="n">
        <v>-246288.9180379398</v>
      </c>
      <c r="J1353" s="4" t="n">
        <v>-0.0127525748865882</v>
      </c>
      <c r="K1353">
        <f>IF(AND(I1353&gt;0,J1353&gt;=Assumptions!$B$4),1,0)</f>
        <v/>
      </c>
      <c r="L1353" s="3">
        <f>I1353*K1353</f>
        <v/>
      </c>
      <c r="M1353">
        <f>SUM($K$2:K1353)</f>
        <v/>
      </c>
    </row>
    <row r="1354">
      <c r="A1354" t="inlineStr">
        <is>
          <t>360152</t>
        </is>
      </c>
      <c r="B1354" t="inlineStr">
        <is>
          <t>Doctors Hospital</t>
        </is>
      </c>
      <c r="C1354" t="inlineStr">
        <is>
          <t>OH</t>
        </is>
      </c>
      <c r="D1354" t="inlineStr">
        <is>
          <t>Metropolitan</t>
        </is>
      </c>
      <c r="E1354" s="5" t="n">
        <v>720</v>
      </c>
      <c r="F1354" s="4" t="n">
        <v>0.6972222222222222</v>
      </c>
      <c r="G1354" s="4" t="n">
        <v>0.669455705738814</v>
      </c>
      <c r="H1354" s="3" t="n">
        <v>9911646.886478825</v>
      </c>
      <c r="I1354" s="3" t="n">
        <v>-246814.1361511126</v>
      </c>
      <c r="J1354" s="4" t="n">
        <v>-0.0249014254621811</v>
      </c>
      <c r="K1354">
        <f>IF(AND(I1354&gt;0,J1354&gt;=Assumptions!$B$4),1,0)</f>
        <v/>
      </c>
      <c r="L1354" s="3">
        <f>I1354*K1354</f>
        <v/>
      </c>
      <c r="M1354">
        <f>SUM($K$2:K1354)</f>
        <v/>
      </c>
    </row>
    <row r="1355">
      <c r="A1355" t="inlineStr">
        <is>
          <t>080006</t>
        </is>
      </c>
      <c r="B1355" t="inlineStr">
        <is>
          <t>Tidalhealth Nanticoke, Inc.</t>
        </is>
      </c>
      <c r="C1355" t="inlineStr">
        <is>
          <t>DE</t>
        </is>
      </c>
      <c r="D1355" t="inlineStr">
        <is>
          <t>Metropolitan</t>
        </is>
      </c>
      <c r="E1355" s="5" t="n">
        <v>892</v>
      </c>
      <c r="F1355" s="4" t="n">
        <v>0.7286995515695067</v>
      </c>
      <c r="G1355" s="4" t="n">
        <v>0.6937574546089822</v>
      </c>
      <c r="H1355" s="3" t="n">
        <v>13696429.88804824</v>
      </c>
      <c r="I1355" s="3" t="n">
        <v>-246943.2928384785</v>
      </c>
      <c r="J1355" s="4" t="n">
        <v>-0.0180297562837134</v>
      </c>
      <c r="K1355">
        <f>IF(AND(I1355&gt;0,J1355&gt;=Assumptions!$B$4),1,0)</f>
        <v/>
      </c>
      <c r="L1355" s="3">
        <f>I1355*K1355</f>
        <v/>
      </c>
      <c r="M1355">
        <f>SUM($K$2:K1355)</f>
        <v/>
      </c>
    </row>
    <row r="1356">
      <c r="A1356" t="inlineStr">
        <is>
          <t>050149</t>
        </is>
      </c>
      <c r="B1356" t="inlineStr">
        <is>
          <t>California Hospital Medical Center La</t>
        </is>
      </c>
      <c r="C1356" t="inlineStr">
        <is>
          <t>CA</t>
        </is>
      </c>
      <c r="D1356" t="inlineStr">
        <is>
          <t>Metropolitan</t>
        </is>
      </c>
      <c r="E1356" s="5" t="n">
        <v>378</v>
      </c>
      <c r="F1356" s="4" t="n">
        <v>0.828042328042328</v>
      </c>
      <c r="G1356" s="4" t="n">
        <v>0.7541907293890755</v>
      </c>
      <c r="H1356" s="3" t="n">
        <v>5609443.218872197</v>
      </c>
      <c r="I1356" s="3" t="n">
        <v>-247404.8487462383</v>
      </c>
      <c r="J1356" s="4" t="n">
        <v>-0.0441050633891575</v>
      </c>
      <c r="K1356">
        <f>IF(AND(I1356&gt;0,J1356&gt;=Assumptions!$B$4),1,0)</f>
        <v/>
      </c>
      <c r="L1356" s="3">
        <f>I1356*K1356</f>
        <v/>
      </c>
      <c r="M1356">
        <f>SUM($K$2:K1356)</f>
        <v/>
      </c>
    </row>
    <row r="1357">
      <c r="A1357" t="inlineStr">
        <is>
          <t>060114</t>
        </is>
      </c>
      <c r="B1357" t="inlineStr">
        <is>
          <t>Adventhealth Parker</t>
        </is>
      </c>
      <c r="C1357" t="inlineStr">
        <is>
          <t>CO</t>
        </is>
      </c>
      <c r="D1357" t="inlineStr">
        <is>
          <t>Metropolitan</t>
        </is>
      </c>
      <c r="E1357" s="5" t="n">
        <v>922</v>
      </c>
      <c r="F1357" s="4" t="n">
        <v>0.675704989154013</v>
      </c>
      <c r="G1357" s="4" t="n">
        <v>0.6374485735161122</v>
      </c>
      <c r="H1357" s="3" t="n">
        <v>15693679.84499661</v>
      </c>
      <c r="I1357" s="3" t="n">
        <v>-247848.245346237</v>
      </c>
      <c r="J1357" s="4" t="n">
        <v>-0.0157928699829603</v>
      </c>
      <c r="K1357">
        <f>IF(AND(I1357&gt;0,J1357&gt;=Assumptions!$B$4),1,0)</f>
        <v/>
      </c>
      <c r="L1357" s="3">
        <f>I1357*K1357</f>
        <v/>
      </c>
      <c r="M1357">
        <f>SUM($K$2:K1357)</f>
        <v/>
      </c>
    </row>
    <row r="1358">
      <c r="A1358" t="inlineStr">
        <is>
          <t>290005</t>
        </is>
      </c>
      <c r="B1358" t="inlineStr">
        <is>
          <t>North Vista Hospital</t>
        </is>
      </c>
      <c r="C1358" t="inlineStr">
        <is>
          <t>NV</t>
        </is>
      </c>
      <c r="D1358" t="inlineStr">
        <is>
          <t>Metropolitan</t>
        </is>
      </c>
      <c r="E1358" s="5" t="n">
        <v>337</v>
      </c>
      <c r="F1358" s="4" t="n">
        <v>0.7655786350148368</v>
      </c>
      <c r="G1358" s="4" t="n">
        <v>0.6413074085470849</v>
      </c>
      <c r="H1358" s="3" t="n">
        <v>4530721.854246392</v>
      </c>
      <c r="I1358" s="3" t="n">
        <v>-247880.2733049253</v>
      </c>
      <c r="J1358" s="4" t="n">
        <v>-0.0547109889503812</v>
      </c>
      <c r="K1358">
        <f>IF(AND(I1358&gt;0,J1358&gt;=Assumptions!$B$4),1,0)</f>
        <v/>
      </c>
      <c r="L1358" s="3">
        <f>I1358*K1358</f>
        <v/>
      </c>
      <c r="M1358">
        <f>SUM($K$2:K1358)</f>
        <v/>
      </c>
    </row>
    <row r="1359">
      <c r="A1359" t="inlineStr">
        <is>
          <t>100156</t>
        </is>
      </c>
      <c r="B1359" t="inlineStr">
        <is>
          <t>Hca Florida Lake City Hospital</t>
        </is>
      </c>
      <c r="C1359" t="inlineStr">
        <is>
          <t>FL</t>
        </is>
      </c>
      <c r="D1359" t="inlineStr">
        <is>
          <t>Micropolitan</t>
        </is>
      </c>
      <c r="E1359" s="5" t="n">
        <v>1709</v>
      </c>
      <c r="F1359" s="4" t="n">
        <v>0.6477472205968403</v>
      </c>
      <c r="G1359" s="4" t="n">
        <v>0.6223768912760735</v>
      </c>
      <c r="H1359" s="3" t="n">
        <v>21470982.27023237</v>
      </c>
      <c r="I1359" s="3" t="n">
        <v>-250750.0598913804</v>
      </c>
      <c r="J1359" s="4" t="n">
        <v>-0.0116785555842511</v>
      </c>
      <c r="K1359">
        <f>IF(AND(I1359&gt;0,J1359&gt;=Assumptions!$B$4),1,0)</f>
        <v/>
      </c>
      <c r="L1359" s="3">
        <f>I1359*K1359</f>
        <v/>
      </c>
      <c r="M1359">
        <f>SUM($K$2:K1359)</f>
        <v/>
      </c>
    </row>
    <row r="1360">
      <c r="A1360" t="inlineStr">
        <is>
          <t>420086</t>
        </is>
      </c>
      <c r="B1360" t="inlineStr">
        <is>
          <t>Prisma Health Baptist</t>
        </is>
      </c>
      <c r="C1360" t="inlineStr">
        <is>
          <t>SC</t>
        </is>
      </c>
      <c r="D1360" t="inlineStr">
        <is>
          <t>Metropolitan</t>
        </is>
      </c>
      <c r="E1360" s="5" t="n">
        <v>861</v>
      </c>
      <c r="F1360" s="4" t="n">
        <v>0.5993031358885017</v>
      </c>
      <c r="G1360" s="4" t="n">
        <v>0.5596575358860828</v>
      </c>
      <c r="H1360" s="3" t="n">
        <v>13072028.56447929</v>
      </c>
      <c r="I1360" s="3" t="n">
        <v>-250864.0516093429</v>
      </c>
      <c r="J1360" s="4" t="n">
        <v>-0.019190904485247</v>
      </c>
      <c r="K1360">
        <f>IF(AND(I1360&gt;0,J1360&gt;=Assumptions!$B$4),1,0)</f>
        <v/>
      </c>
      <c r="L1360" s="3">
        <f>I1360*K1360</f>
        <v/>
      </c>
      <c r="M1360">
        <f>SUM($K$2:K1360)</f>
        <v/>
      </c>
    </row>
    <row r="1361">
      <c r="A1361" t="inlineStr">
        <is>
          <t>180127</t>
        </is>
      </c>
      <c r="B1361" t="inlineStr">
        <is>
          <t>Frankfort Regional Medical Center</t>
        </is>
      </c>
      <c r="C1361" t="inlineStr">
        <is>
          <t>KY</t>
        </is>
      </c>
      <c r="D1361" t="inlineStr">
        <is>
          <t>Micropolitan</t>
        </is>
      </c>
      <c r="E1361" s="5" t="n">
        <v>468</v>
      </c>
      <c r="F1361" s="4" t="n">
        <v>0.8098290598290598</v>
      </c>
      <c r="G1361" s="4" t="n">
        <v>0.7497798151068934</v>
      </c>
      <c r="H1361" s="3" t="n">
        <v>7001963.184980352</v>
      </c>
      <c r="I1361" s="3" t="n">
        <v>-250869.8275207411</v>
      </c>
      <c r="J1361" s="4" t="n">
        <v>-0.035828498507229</v>
      </c>
      <c r="K1361">
        <f>IF(AND(I1361&gt;0,J1361&gt;=Assumptions!$B$4),1,0)</f>
        <v/>
      </c>
      <c r="L1361" s="3">
        <f>I1361*K1361</f>
        <v/>
      </c>
      <c r="M1361">
        <f>SUM($K$2:K1361)</f>
        <v/>
      </c>
    </row>
    <row r="1362">
      <c r="A1362" t="inlineStr">
        <is>
          <t>010139</t>
        </is>
      </c>
      <c r="B1362" t="inlineStr">
        <is>
          <t>Brookwood Baptist Medical Center</t>
        </is>
      </c>
      <c r="C1362" t="inlineStr">
        <is>
          <t>AL</t>
        </is>
      </c>
      <c r="D1362" t="inlineStr">
        <is>
          <t>Metropolitan</t>
        </is>
      </c>
      <c r="E1362" s="5" t="n">
        <v>647</v>
      </c>
      <c r="F1362" s="4" t="n">
        <v>0.7109737248840804</v>
      </c>
      <c r="G1362" s="4" t="n">
        <v>0.6277995446961779</v>
      </c>
      <c r="H1362" s="3" t="n">
        <v>11046390.78411323</v>
      </c>
      <c r="I1362" s="3" t="n">
        <v>-250947.6489130501</v>
      </c>
      <c r="J1362" s="4" t="n">
        <v>-0.0227176146324607</v>
      </c>
      <c r="K1362">
        <f>IF(AND(I1362&gt;0,J1362&gt;=Assumptions!$B$4),1,0)</f>
        <v/>
      </c>
      <c r="L1362" s="3">
        <f>I1362*K1362</f>
        <v/>
      </c>
      <c r="M1362">
        <f>SUM($K$2:K1362)</f>
        <v/>
      </c>
    </row>
    <row r="1363">
      <c r="A1363" t="inlineStr">
        <is>
          <t>440197</t>
        </is>
      </c>
      <c r="B1363" t="inlineStr">
        <is>
          <t>Tristar Southern Hills Medical Center</t>
        </is>
      </c>
      <c r="C1363" t="inlineStr">
        <is>
          <t>TN</t>
        </is>
      </c>
      <c r="D1363" t="inlineStr">
        <is>
          <t>Metropolitan</t>
        </is>
      </c>
      <c r="E1363" s="5" t="n">
        <v>302</v>
      </c>
      <c r="F1363" s="4" t="n">
        <v>0.8245033112582781</v>
      </c>
      <c r="G1363" s="4" t="n">
        <v>0.7476980520569667</v>
      </c>
      <c r="H1363" s="3" t="n">
        <v>4982776.929700091</v>
      </c>
      <c r="I1363" s="3" t="n">
        <v>-251817.0955816218</v>
      </c>
      <c r="J1363" s="4" t="n">
        <v>-0.050537501303872</v>
      </c>
      <c r="K1363">
        <f>IF(AND(I1363&gt;0,J1363&gt;=Assumptions!$B$4),1,0)</f>
        <v/>
      </c>
      <c r="L1363" s="3">
        <f>I1363*K1363</f>
        <v/>
      </c>
      <c r="M1363">
        <f>SUM($K$2:K1363)</f>
        <v/>
      </c>
    </row>
    <row r="1364">
      <c r="A1364" t="inlineStr">
        <is>
          <t>450742</t>
        </is>
      </c>
      <c r="B1364" t="inlineStr">
        <is>
          <t>Baylor Scott And White Medical Center Lake Pointe</t>
        </is>
      </c>
      <c r="C1364" t="inlineStr">
        <is>
          <t>TX</t>
        </is>
      </c>
      <c r="D1364" t="inlineStr">
        <is>
          <t>Metropolitan</t>
        </is>
      </c>
      <c r="E1364" s="5" t="n">
        <v>1226</v>
      </c>
      <c r="F1364" s="4" t="n">
        <v>0.6101141924959217</v>
      </c>
      <c r="G1364" s="4" t="n">
        <v>0.5864050674321281</v>
      </c>
      <c r="H1364" s="3" t="n">
        <v>16324849.57166094</v>
      </c>
      <c r="I1364" s="3" t="n">
        <v>-253214.4711178206</v>
      </c>
      <c r="J1364" s="4" t="n">
        <v>-0.0155109834247653</v>
      </c>
      <c r="K1364">
        <f>IF(AND(I1364&gt;0,J1364&gt;=Assumptions!$B$4),1,0)</f>
        <v/>
      </c>
      <c r="L1364" s="3">
        <f>I1364*K1364</f>
        <v/>
      </c>
      <c r="M1364">
        <f>SUM($K$2:K1364)</f>
        <v/>
      </c>
    </row>
    <row r="1365">
      <c r="A1365" t="inlineStr">
        <is>
          <t>070011</t>
        </is>
      </c>
      <c r="B1365" t="inlineStr">
        <is>
          <t>Charlotte Hungerford Hospital</t>
        </is>
      </c>
      <c r="C1365" t="inlineStr">
        <is>
          <t>CT</t>
        </is>
      </c>
      <c r="D1365" t="inlineStr">
        <is>
          <t>Micropolitan</t>
        </is>
      </c>
      <c r="E1365" s="5" t="n">
        <v>993</v>
      </c>
      <c r="F1365" s="4" t="n">
        <v>0.6847935548841894</v>
      </c>
      <c r="G1365" s="4" t="n">
        <v>0.6643236900327647</v>
      </c>
      <c r="H1365" s="3" t="n">
        <v>13031677.90530592</v>
      </c>
      <c r="I1365" s="3" t="n">
        <v>-254072.0153659228</v>
      </c>
      <c r="J1365" s="4" t="n">
        <v>-0.0194964928700759</v>
      </c>
      <c r="K1365">
        <f>IF(AND(I1365&gt;0,J1365&gt;=Assumptions!$B$4),1,0)</f>
        <v/>
      </c>
      <c r="L1365" s="3">
        <f>I1365*K1365</f>
        <v/>
      </c>
      <c r="M1365">
        <f>SUM($K$2:K1365)</f>
        <v/>
      </c>
    </row>
    <row r="1366">
      <c r="A1366" t="inlineStr">
        <is>
          <t>390332</t>
        </is>
      </c>
      <c r="B1366" t="inlineStr">
        <is>
          <t>Geisinger St. Luke's  Hospital</t>
        </is>
      </c>
      <c r="C1366" t="inlineStr">
        <is>
          <t>PA</t>
        </is>
      </c>
      <c r="D1366" t="inlineStr">
        <is>
          <t>Micropolitan</t>
        </is>
      </c>
      <c r="E1366" s="5" t="n">
        <v>760</v>
      </c>
      <c r="F1366" s="4" t="n">
        <v>0.7526315789473684</v>
      </c>
      <c r="G1366" s="4" t="n">
        <v>0.700890046043414</v>
      </c>
      <c r="H1366" s="3" t="n">
        <v>10273678.34626059</v>
      </c>
      <c r="I1366" s="3" t="n">
        <v>-254876.9101799354</v>
      </c>
      <c r="J1366" s="4" t="n">
        <v>-0.0248087298034501</v>
      </c>
      <c r="K1366">
        <f>IF(AND(I1366&gt;0,J1366&gt;=Assumptions!$B$4),1,0)</f>
        <v/>
      </c>
      <c r="L1366" s="3">
        <f>I1366*K1366</f>
        <v/>
      </c>
      <c r="M1366">
        <f>SUM($K$2:K1366)</f>
        <v/>
      </c>
    </row>
    <row r="1367">
      <c r="A1367" t="inlineStr">
        <is>
          <t>460005</t>
        </is>
      </c>
      <c r="B1367" t="inlineStr">
        <is>
          <t>Ogden Regional Medical Center</t>
        </is>
      </c>
      <c r="C1367" t="inlineStr">
        <is>
          <t>UT</t>
        </is>
      </c>
      <c r="D1367" t="inlineStr">
        <is>
          <t>Metropolitan</t>
        </is>
      </c>
      <c r="E1367" s="5" t="n">
        <v>481</v>
      </c>
      <c r="F1367" s="4" t="n">
        <v>0.7796257796257796</v>
      </c>
      <c r="G1367" s="4" t="n">
        <v>0.7093054727482422</v>
      </c>
      <c r="H1367" s="3" t="n">
        <v>7478403.641745106</v>
      </c>
      <c r="I1367" s="3" t="n">
        <v>-256934.5484612296</v>
      </c>
      <c r="J1367" s="4" t="n">
        <v>-0.0343568709004951</v>
      </c>
      <c r="K1367">
        <f>IF(AND(I1367&gt;0,J1367&gt;=Assumptions!$B$4),1,0)</f>
        <v/>
      </c>
      <c r="L1367" s="3">
        <f>I1367*K1367</f>
        <v/>
      </c>
      <c r="M1367">
        <f>SUM($K$2:K1367)</f>
        <v/>
      </c>
    </row>
    <row r="1368">
      <c r="A1368" t="inlineStr">
        <is>
          <t>450352</t>
        </is>
      </c>
      <c r="B1368" t="inlineStr">
        <is>
          <t>Hunt Regional Healthcare</t>
        </is>
      </c>
      <c r="C1368" t="inlineStr">
        <is>
          <t>TX</t>
        </is>
      </c>
      <c r="D1368" t="inlineStr">
        <is>
          <t>Micropolitan</t>
        </is>
      </c>
      <c r="E1368" s="5" t="n">
        <v>1063</v>
      </c>
      <c r="F1368" s="4" t="n">
        <v>0.6556914393226717</v>
      </c>
      <c r="G1368" s="4" t="n">
        <v>0.6335278405923022</v>
      </c>
      <c r="H1368" s="3" t="n">
        <v>13253053.61735352</v>
      </c>
      <c r="I1368" s="3" t="n">
        <v>-257188.4567914829</v>
      </c>
      <c r="J1368" s="4" t="n">
        <v>-0.0194059772349159</v>
      </c>
      <c r="K1368">
        <f>IF(AND(I1368&gt;0,J1368&gt;=Assumptions!$B$4),1,0)</f>
        <v/>
      </c>
      <c r="L1368" s="3">
        <f>I1368*K1368</f>
        <v/>
      </c>
      <c r="M1368">
        <f>SUM($K$2:K1368)</f>
        <v/>
      </c>
    </row>
    <row r="1369">
      <c r="A1369" t="inlineStr">
        <is>
          <t>450152</t>
        </is>
      </c>
      <c r="B1369" t="inlineStr">
        <is>
          <t>Adventhealth Central Texas</t>
        </is>
      </c>
      <c r="C1369" t="inlineStr">
        <is>
          <t>TX</t>
        </is>
      </c>
      <c r="D1369" t="inlineStr">
        <is>
          <t>Metropolitan</t>
        </is>
      </c>
      <c r="E1369" s="5" t="n">
        <v>689</v>
      </c>
      <c r="F1369" s="4" t="n">
        <v>0.7561683599419449</v>
      </c>
      <c r="G1369" s="4" t="n">
        <v>0.6996338378282783</v>
      </c>
      <c r="H1369" s="3" t="n">
        <v>8999015.703364322</v>
      </c>
      <c r="I1369" s="3" t="n">
        <v>-257406.5306634493</v>
      </c>
      <c r="J1369" s="4" t="n">
        <v>-0.0286038539267374</v>
      </c>
      <c r="K1369">
        <f>IF(AND(I1369&gt;0,J1369&gt;=Assumptions!$B$4),1,0)</f>
        <v/>
      </c>
      <c r="L1369" s="3">
        <f>I1369*K1369</f>
        <v/>
      </c>
      <c r="M1369">
        <f>SUM($K$2:K1369)</f>
        <v/>
      </c>
    </row>
    <row r="1370">
      <c r="A1370" t="inlineStr">
        <is>
          <t>420009</t>
        </is>
      </c>
      <c r="B1370" t="inlineStr">
        <is>
          <t>Prisma Health Oconee Memorial Hospital</t>
        </is>
      </c>
      <c r="C1370" t="inlineStr">
        <is>
          <t>SC</t>
        </is>
      </c>
      <c r="D1370" t="inlineStr">
        <is>
          <t>Micropolitan</t>
        </is>
      </c>
      <c r="E1370" s="5" t="n">
        <v>1271</v>
      </c>
      <c r="F1370" s="4" t="n">
        <v>0.6388670338316287</v>
      </c>
      <c r="G1370" s="4" t="n">
        <v>0.6342544331069581</v>
      </c>
      <c r="H1370" s="3" t="n">
        <v>17661604.7441984</v>
      </c>
      <c r="I1370" s="3" t="n">
        <v>-257694.2656700909</v>
      </c>
      <c r="J1370" s="4" t="n">
        <v>-0.0145906484378063</v>
      </c>
      <c r="K1370">
        <f>IF(AND(I1370&gt;0,J1370&gt;=Assumptions!$B$4),1,0)</f>
        <v/>
      </c>
      <c r="L1370" s="3">
        <f>I1370*K1370</f>
        <v/>
      </c>
      <c r="M1370">
        <f>SUM($K$2:K1370)</f>
        <v/>
      </c>
    </row>
    <row r="1371">
      <c r="A1371" t="inlineStr">
        <is>
          <t>190026</t>
        </is>
      </c>
      <c r="B1371" t="inlineStr">
        <is>
          <t>Rapides Regional Medical Center</t>
        </is>
      </c>
      <c r="C1371" t="inlineStr">
        <is>
          <t>LA</t>
        </is>
      </c>
      <c r="D1371" t="inlineStr">
        <is>
          <t>Metropolitan</t>
        </is>
      </c>
      <c r="E1371" s="5" t="n">
        <v>2255</v>
      </c>
      <c r="F1371" s="4" t="n">
        <v>0.6252771618625277</v>
      </c>
      <c r="G1371" s="4" t="n">
        <v>0.5979593319557494</v>
      </c>
      <c r="H1371" s="3" t="n">
        <v>39504414.04706218</v>
      </c>
      <c r="I1371" s="3" t="n">
        <v>-259220.2086464241</v>
      </c>
      <c r="J1371" s="4" t="n">
        <v>-0.0065618036591458</v>
      </c>
      <c r="K1371">
        <f>IF(AND(I1371&gt;0,J1371&gt;=Assumptions!$B$4),1,0)</f>
        <v/>
      </c>
      <c r="L1371" s="3">
        <f>I1371*K1371</f>
        <v/>
      </c>
      <c r="M1371">
        <f>SUM($K$2:K1371)</f>
        <v/>
      </c>
    </row>
    <row r="1372">
      <c r="A1372" t="inlineStr">
        <is>
          <t>070017</t>
        </is>
      </c>
      <c r="B1372" t="inlineStr">
        <is>
          <t>Midstate Medical Center</t>
        </is>
      </c>
      <c r="C1372" t="inlineStr">
        <is>
          <t>CT</t>
        </is>
      </c>
      <c r="D1372" t="inlineStr">
        <is>
          <t>Metropolitan</t>
        </is>
      </c>
      <c r="E1372" s="5" t="n">
        <v>1420</v>
      </c>
      <c r="F1372" s="4" t="n">
        <v>0.6049295774647887</v>
      </c>
      <c r="G1372" s="4" t="n">
        <v>0.5856507240522231</v>
      </c>
      <c r="H1372" s="3" t="n">
        <v>21736210.91938946</v>
      </c>
      <c r="I1372" s="3" t="n">
        <v>-260582.5654804073</v>
      </c>
      <c r="J1372" s="4" t="n">
        <v>-0.0119884080278204</v>
      </c>
      <c r="K1372">
        <f>IF(AND(I1372&gt;0,J1372&gt;=Assumptions!$B$4),1,0)</f>
        <v/>
      </c>
      <c r="L1372" s="3">
        <f>I1372*K1372</f>
        <v/>
      </c>
      <c r="M1372">
        <f>SUM($K$2:K1372)</f>
        <v/>
      </c>
    </row>
    <row r="1373">
      <c r="A1373" t="inlineStr">
        <is>
          <t>230054</t>
        </is>
      </c>
      <c r="B1373" t="inlineStr">
        <is>
          <t>Up Health System - Marquette</t>
        </is>
      </c>
      <c r="C1373" t="inlineStr">
        <is>
          <t>MI</t>
        </is>
      </c>
      <c r="D1373" t="inlineStr">
        <is>
          <t>Micropolitan</t>
        </is>
      </c>
      <c r="E1373" s="5" t="n">
        <v>808</v>
      </c>
      <c r="F1373" s="4" t="n">
        <v>0.5631188118811881</v>
      </c>
      <c r="G1373" s="4" t="n">
        <v>0.5818640840607809</v>
      </c>
      <c r="H1373" s="3" t="n">
        <v>15200680.74871805</v>
      </c>
      <c r="I1373" s="3" t="n">
        <v>-261247.7803957965</v>
      </c>
      <c r="J1373" s="4" t="n">
        <v>-0.0171865842533288</v>
      </c>
      <c r="K1373">
        <f>IF(AND(I1373&gt;0,J1373&gt;=Assumptions!$B$4),1,0)</f>
        <v/>
      </c>
      <c r="L1373" s="3">
        <f>I1373*K1373</f>
        <v/>
      </c>
      <c r="M1373">
        <f>SUM($K$2:K1373)</f>
        <v/>
      </c>
    </row>
    <row r="1374">
      <c r="A1374" t="inlineStr">
        <is>
          <t>010011</t>
        </is>
      </c>
      <c r="B1374" t="inlineStr">
        <is>
          <t>St Vincent's East</t>
        </is>
      </c>
      <c r="C1374" t="inlineStr">
        <is>
          <t>AL</t>
        </is>
      </c>
      <c r="D1374" t="inlineStr">
        <is>
          <t>Metropolitan</t>
        </is>
      </c>
      <c r="E1374" s="5" t="n">
        <v>1336</v>
      </c>
      <c r="F1374" s="4" t="n">
        <v>0.6197604790419161</v>
      </c>
      <c r="G1374" s="4" t="n">
        <v>0.5930186017863593</v>
      </c>
      <c r="H1374" s="3" t="n">
        <v>18747409.01710177</v>
      </c>
      <c r="I1374" s="3" t="n">
        <v>-262680.4725685492</v>
      </c>
      <c r="J1374" s="4" t="n">
        <v>-0.014011561401841</v>
      </c>
      <c r="K1374">
        <f>IF(AND(I1374&gt;0,J1374&gt;=Assumptions!$B$4),1,0)</f>
        <v/>
      </c>
      <c r="L1374" s="3">
        <f>I1374*K1374</f>
        <v/>
      </c>
      <c r="M1374">
        <f>SUM($K$2:K1374)</f>
        <v/>
      </c>
    </row>
    <row r="1375">
      <c r="A1375" t="inlineStr">
        <is>
          <t>050295</t>
        </is>
      </c>
      <c r="B1375" t="inlineStr">
        <is>
          <t>Mercy Hospital</t>
        </is>
      </c>
      <c r="C1375" t="inlineStr">
        <is>
          <t>CA</t>
        </is>
      </c>
      <c r="D1375" t="inlineStr">
        <is>
          <t>Metropolitan</t>
        </is>
      </c>
      <c r="E1375" s="5" t="n">
        <v>1288</v>
      </c>
      <c r="F1375" s="4" t="n">
        <v>0.6995341614906833</v>
      </c>
      <c r="G1375" s="4" t="n">
        <v>0.6456944703997192</v>
      </c>
      <c r="H1375" s="3" t="n">
        <v>18889544.95063655</v>
      </c>
      <c r="I1375" s="3" t="n">
        <v>-263068.083674252</v>
      </c>
      <c r="J1375" s="4" t="n">
        <v>-0.0139266501316849</v>
      </c>
      <c r="K1375">
        <f>IF(AND(I1375&gt;0,J1375&gt;=Assumptions!$B$4),1,0)</f>
        <v/>
      </c>
      <c r="L1375" s="3">
        <f>I1375*K1375</f>
        <v/>
      </c>
      <c r="M1375">
        <f>SUM($K$2:K1375)</f>
        <v/>
      </c>
    </row>
    <row r="1376">
      <c r="A1376" t="inlineStr">
        <is>
          <t>340151</t>
        </is>
      </c>
      <c r="B1376" t="inlineStr">
        <is>
          <t>Ecu Health North Hospital</t>
        </is>
      </c>
      <c r="C1376" t="inlineStr">
        <is>
          <t>NC</t>
        </is>
      </c>
      <c r="D1376" t="inlineStr">
        <is>
          <t>Micropolitan</t>
        </is>
      </c>
      <c r="E1376" s="5" t="n">
        <v>456</v>
      </c>
      <c r="F1376" s="4" t="n">
        <v>0.8289473684210527</v>
      </c>
      <c r="G1376" s="4" t="n">
        <v>0.7592929213177608</v>
      </c>
      <c r="H1376" s="3" t="n">
        <v>5851063.219334787</v>
      </c>
      <c r="I1376" s="3" t="n">
        <v>-264428.3091078056</v>
      </c>
      <c r="J1376" s="4" t="n">
        <v>-0.045193206635335</v>
      </c>
      <c r="K1376">
        <f>IF(AND(I1376&gt;0,J1376&gt;=Assumptions!$B$4),1,0)</f>
        <v/>
      </c>
      <c r="L1376" s="3">
        <f>I1376*K1376</f>
        <v/>
      </c>
      <c r="M1376">
        <f>SUM($K$2:K1376)</f>
        <v/>
      </c>
    </row>
    <row r="1377">
      <c r="A1377" t="inlineStr">
        <is>
          <t>100122</t>
        </is>
      </c>
      <c r="B1377" t="inlineStr">
        <is>
          <t>North Okaloosa Medical Center</t>
        </is>
      </c>
      <c r="C1377" t="inlineStr">
        <is>
          <t>FL</t>
        </is>
      </c>
      <c r="D1377" t="inlineStr">
        <is>
          <t>Metropolitan</t>
        </is>
      </c>
      <c r="E1377" s="5" t="n">
        <v>1013</v>
      </c>
      <c r="F1377" s="4" t="n">
        <v>0.6929911154985192</v>
      </c>
      <c r="G1377" s="4" t="n">
        <v>0.6503619936323332</v>
      </c>
      <c r="H1377" s="3" t="n">
        <v>13349415.11613882</v>
      </c>
      <c r="I1377" s="3" t="n">
        <v>-266033.8893510755</v>
      </c>
      <c r="J1377" s="4" t="n">
        <v>-0.0199285052593392</v>
      </c>
      <c r="K1377">
        <f>IF(AND(I1377&gt;0,J1377&gt;=Assumptions!$B$4),1,0)</f>
        <v/>
      </c>
      <c r="L1377" s="3">
        <f>I1377*K1377</f>
        <v/>
      </c>
      <c r="M1377">
        <f>SUM($K$2:K1377)</f>
        <v/>
      </c>
    </row>
    <row r="1378">
      <c r="A1378" t="inlineStr">
        <is>
          <t>510046</t>
        </is>
      </c>
      <c r="B1378" t="inlineStr">
        <is>
          <t>Princeton Community Hospital</t>
        </is>
      </c>
      <c r="C1378" t="inlineStr">
        <is>
          <t>WV</t>
        </is>
      </c>
      <c r="D1378" t="inlineStr">
        <is>
          <t>Micropolitan</t>
        </is>
      </c>
      <c r="E1378" s="5" t="n">
        <v>1370</v>
      </c>
      <c r="F1378" s="4" t="n">
        <v>0.6503649635036496</v>
      </c>
      <c r="G1378" s="4" t="n">
        <v>0.623804332573144</v>
      </c>
      <c r="H1378" s="3" t="n">
        <v>18078009.36328522</v>
      </c>
      <c r="I1378" s="3" t="n">
        <v>-267166.7692411765</v>
      </c>
      <c r="J1378" s="4" t="n">
        <v>-0.0147785502193492</v>
      </c>
      <c r="K1378">
        <f>IF(AND(I1378&gt;0,J1378&gt;=Assumptions!$B$4),1,0)</f>
        <v/>
      </c>
      <c r="L1378" s="3">
        <f>I1378*K1378</f>
        <v/>
      </c>
      <c r="M1378">
        <f>SUM($K$2:K1378)</f>
        <v/>
      </c>
    </row>
    <row r="1379">
      <c r="A1379" t="inlineStr">
        <is>
          <t>440072</t>
        </is>
      </c>
      <c r="B1379" t="inlineStr">
        <is>
          <t>West Tennessee Healthcare Dyersburg Hospital</t>
        </is>
      </c>
      <c r="C1379" t="inlineStr">
        <is>
          <t>TN</t>
        </is>
      </c>
      <c r="D1379" t="inlineStr">
        <is>
          <t>Micropolitan</t>
        </is>
      </c>
      <c r="E1379" s="5" t="n">
        <v>514</v>
      </c>
      <c r="F1379" s="4" t="n">
        <v>0.8365758754863813</v>
      </c>
      <c r="G1379" s="4" t="n">
        <v>0.7282882128057669</v>
      </c>
      <c r="H1379" s="3" t="n">
        <v>6710789.270047401</v>
      </c>
      <c r="I1379" s="3" t="n">
        <v>-268923.4449154669</v>
      </c>
      <c r="J1379" s="4" t="n">
        <v>-0.0400732960153832</v>
      </c>
      <c r="K1379">
        <f>IF(AND(I1379&gt;0,J1379&gt;=Assumptions!$B$4),1,0)</f>
        <v/>
      </c>
      <c r="L1379" s="3">
        <f>I1379*K1379</f>
        <v/>
      </c>
      <c r="M1379">
        <f>SUM($K$2:K1379)</f>
        <v/>
      </c>
    </row>
    <row r="1380">
      <c r="A1380" t="inlineStr">
        <is>
          <t>310069</t>
        </is>
      </c>
      <c r="B1380" t="inlineStr">
        <is>
          <t>Inspira Medical Center Mullica Hill</t>
        </is>
      </c>
      <c r="C1380" t="inlineStr">
        <is>
          <t>NJ</t>
        </is>
      </c>
      <c r="D1380" t="inlineStr">
        <is>
          <t>Metropolitan</t>
        </is>
      </c>
      <c r="E1380" s="5" t="n">
        <v>3103</v>
      </c>
      <c r="F1380" s="4" t="n">
        <v>0.6277795681598453</v>
      </c>
      <c r="G1380" s="4" t="n">
        <v>0.6118284532920212</v>
      </c>
      <c r="H1380" s="3" t="n">
        <v>43927463.37548847</v>
      </c>
      <c r="I1380" s="3" t="n">
        <v>-270897.5817366019</v>
      </c>
      <c r="J1380" s="4" t="n">
        <v>-0.0061669297728619</v>
      </c>
      <c r="K1380">
        <f>IF(AND(I1380&gt;0,J1380&gt;=Assumptions!$B$4),1,0)</f>
        <v/>
      </c>
      <c r="L1380" s="3">
        <f>I1380*K1380</f>
        <v/>
      </c>
      <c r="M1380">
        <f>SUM($K$2:K1380)</f>
        <v/>
      </c>
    </row>
    <row r="1381">
      <c r="A1381" t="inlineStr">
        <is>
          <t>180080</t>
        </is>
      </c>
      <c r="B1381" t="inlineStr">
        <is>
          <t>Baptist Health Corbin</t>
        </is>
      </c>
      <c r="C1381" t="inlineStr">
        <is>
          <t>KY</t>
        </is>
      </c>
      <c r="D1381" t="inlineStr">
        <is>
          <t>Micropolitan</t>
        </is>
      </c>
      <c r="E1381" s="5" t="n">
        <v>674</v>
      </c>
      <c r="F1381" s="4" t="n">
        <v>0.7789317507418397</v>
      </c>
      <c r="G1381" s="4" t="n">
        <v>0.7179004943034846</v>
      </c>
      <c r="H1381" s="3" t="n">
        <v>9808409.650963755</v>
      </c>
      <c r="I1381" s="3" t="n">
        <v>-271274.9219509065</v>
      </c>
      <c r="J1381" s="4" t="n">
        <v>-0.0276573809215086</v>
      </c>
      <c r="K1381">
        <f>IF(AND(I1381&gt;0,J1381&gt;=Assumptions!$B$4),1,0)</f>
        <v/>
      </c>
      <c r="L1381" s="3">
        <f>I1381*K1381</f>
        <v/>
      </c>
      <c r="M1381">
        <f>SUM($K$2:K1381)</f>
        <v/>
      </c>
    </row>
    <row r="1382">
      <c r="A1382" t="inlineStr">
        <is>
          <t>100050</t>
        </is>
      </c>
      <c r="B1382" t="inlineStr">
        <is>
          <t>Larkin Community Hospital Palm Springs Campus</t>
        </is>
      </c>
      <c r="C1382" t="inlineStr">
        <is>
          <t>FL</t>
        </is>
      </c>
      <c r="D1382" t="inlineStr">
        <is>
          <t>Metropolitan</t>
        </is>
      </c>
      <c r="E1382" s="5" t="n">
        <v>362</v>
      </c>
      <c r="F1382" s="4" t="n">
        <v>0.7900552486187845</v>
      </c>
      <c r="G1382" s="4" t="n">
        <v>0.692708133844396</v>
      </c>
      <c r="H1382" s="3" t="n">
        <v>4828939.846862881</v>
      </c>
      <c r="I1382" s="3" t="n">
        <v>-272112.8776566721</v>
      </c>
      <c r="J1382" s="4" t="n">
        <v>-0.0563504384577186</v>
      </c>
      <c r="K1382">
        <f>IF(AND(I1382&gt;0,J1382&gt;=Assumptions!$B$4),1,0)</f>
        <v/>
      </c>
      <c r="L1382" s="3">
        <f>I1382*K1382</f>
        <v/>
      </c>
      <c r="M1382">
        <f>SUM($K$2:K1382)</f>
        <v/>
      </c>
    </row>
    <row r="1383">
      <c r="A1383" t="inlineStr">
        <is>
          <t>450518</t>
        </is>
      </c>
      <c r="B1383" t="inlineStr">
        <is>
          <t>The Medical Center Of Southeast Texas</t>
        </is>
      </c>
      <c r="C1383" t="inlineStr">
        <is>
          <t>TX</t>
        </is>
      </c>
      <c r="D1383" t="inlineStr">
        <is>
          <t>Metropolitan</t>
        </is>
      </c>
      <c r="E1383" s="5" t="n">
        <v>357</v>
      </c>
      <c r="F1383" s="4" t="n">
        <v>0.876750700280112</v>
      </c>
      <c r="G1383" s="4" t="n">
        <v>0.7306279665397163</v>
      </c>
      <c r="H1383" s="3" t="n">
        <v>4272289.132533539</v>
      </c>
      <c r="I1383" s="3" t="n">
        <v>-272216.7726698322</v>
      </c>
      <c r="J1383" s="4" t="n">
        <v>-0.0637168422419957</v>
      </c>
      <c r="K1383">
        <f>IF(AND(I1383&gt;0,J1383&gt;=Assumptions!$B$4),1,0)</f>
        <v/>
      </c>
      <c r="L1383" s="3">
        <f>I1383*K1383</f>
        <v/>
      </c>
      <c r="M1383">
        <f>SUM($K$2:K1383)</f>
        <v/>
      </c>
    </row>
    <row r="1384">
      <c r="A1384" t="inlineStr">
        <is>
          <t>210004</t>
        </is>
      </c>
      <c r="B1384" t="inlineStr">
        <is>
          <t>Holy Cross Hospital</t>
        </is>
      </c>
      <c r="C1384" t="inlineStr">
        <is>
          <t>MD</t>
        </is>
      </c>
      <c r="D1384" t="inlineStr">
        <is>
          <t>Metropolitan</t>
        </is>
      </c>
      <c r="E1384" s="5" t="n">
        <v>2200</v>
      </c>
      <c r="F1384" s="4" t="n">
        <v>0.6286363636363637</v>
      </c>
      <c r="G1384" s="4" t="n">
        <v>0.6179052127248086</v>
      </c>
      <c r="H1384" s="3" t="n">
        <v>34388275.17304903</v>
      </c>
      <c r="I1384" s="3" t="n">
        <v>-272461.1278915033</v>
      </c>
      <c r="J1384" s="4" t="n">
        <v>-0.007923082112156501</v>
      </c>
      <c r="K1384">
        <f>IF(AND(I1384&gt;0,J1384&gt;=Assumptions!$B$4),1,0)</f>
        <v/>
      </c>
      <c r="L1384" s="3">
        <f>I1384*K1384</f>
        <v/>
      </c>
      <c r="M1384">
        <f>SUM($K$2:K1384)</f>
        <v/>
      </c>
    </row>
    <row r="1385">
      <c r="A1385" t="inlineStr">
        <is>
          <t>340001</t>
        </is>
      </c>
      <c r="B1385" t="inlineStr">
        <is>
          <t>Atrium Health Cabarrus</t>
        </is>
      </c>
      <c r="C1385" t="inlineStr">
        <is>
          <t>NC</t>
        </is>
      </c>
      <c r="D1385" t="inlineStr">
        <is>
          <t>Metropolitan</t>
        </is>
      </c>
      <c r="E1385" s="5" t="n">
        <v>3744</v>
      </c>
      <c r="F1385" s="4" t="n">
        <v>0.5737179487179487</v>
      </c>
      <c r="G1385" s="4" t="n">
        <v>0.5670882121422672</v>
      </c>
      <c r="H1385" s="3" t="n">
        <v>58747127.38594323</v>
      </c>
      <c r="I1385" s="3" t="n">
        <v>-272694.214722693</v>
      </c>
      <c r="J1385" s="4" t="n">
        <v>-0.0046418306197545</v>
      </c>
      <c r="K1385">
        <f>IF(AND(I1385&gt;0,J1385&gt;=Assumptions!$B$4),1,0)</f>
        <v/>
      </c>
      <c r="L1385" s="3">
        <f>I1385*K1385</f>
        <v/>
      </c>
      <c r="M1385">
        <f>SUM($K$2:K1385)</f>
        <v/>
      </c>
    </row>
    <row r="1386">
      <c r="A1386" t="inlineStr">
        <is>
          <t>200009</t>
        </is>
      </c>
      <c r="B1386" t="inlineStr">
        <is>
          <t>Maine Medical Center</t>
        </is>
      </c>
      <c r="C1386" t="inlineStr">
        <is>
          <t>ME</t>
        </is>
      </c>
      <c r="D1386" t="inlineStr">
        <is>
          <t>Metropolitan</t>
        </is>
      </c>
      <c r="E1386" s="5" t="n">
        <v>4146</v>
      </c>
      <c r="F1386" s="4" t="n">
        <v>0.5429329474191992</v>
      </c>
      <c r="G1386" s="4" t="n">
        <v>0.5243835154889865</v>
      </c>
      <c r="H1386" s="3" t="n">
        <v>80155862.70225176</v>
      </c>
      <c r="I1386" s="3" t="n">
        <v>-274143.4530594647</v>
      </c>
      <c r="J1386" s="4" t="n">
        <v>-0.003420129779874</v>
      </c>
      <c r="K1386">
        <f>IF(AND(I1386&gt;0,J1386&gt;=Assumptions!$B$4),1,0)</f>
        <v/>
      </c>
      <c r="L1386" s="3">
        <f>I1386*K1386</f>
        <v/>
      </c>
      <c r="M1386">
        <f>SUM($K$2:K1386)</f>
        <v/>
      </c>
    </row>
    <row r="1387">
      <c r="A1387" t="inlineStr">
        <is>
          <t>450670</t>
        </is>
      </c>
      <c r="B1387" t="inlineStr">
        <is>
          <t>Hca Houston Healthcare Tomball</t>
        </is>
      </c>
      <c r="C1387" t="inlineStr">
        <is>
          <t>TX</t>
        </is>
      </c>
      <c r="D1387" t="inlineStr">
        <is>
          <t>Metropolitan</t>
        </is>
      </c>
      <c r="E1387" s="5" t="n">
        <v>718</v>
      </c>
      <c r="F1387" s="4" t="n">
        <v>0.6727019498607242</v>
      </c>
      <c r="G1387" s="4" t="n">
        <v>0.6050032370200802</v>
      </c>
      <c r="H1387" s="3" t="n">
        <v>9385265.17752764</v>
      </c>
      <c r="I1387" s="3" t="n">
        <v>-275587.0246281773</v>
      </c>
      <c r="J1387" s="4" t="n">
        <v>-0.0293637973371334</v>
      </c>
      <c r="K1387">
        <f>IF(AND(I1387&gt;0,J1387&gt;=Assumptions!$B$4),1,0)</f>
        <v/>
      </c>
      <c r="L1387" s="3">
        <f>I1387*K1387</f>
        <v/>
      </c>
      <c r="M1387">
        <f>SUM($K$2:K1387)</f>
        <v/>
      </c>
    </row>
    <row r="1388">
      <c r="A1388" t="inlineStr">
        <is>
          <t>440082</t>
        </is>
      </c>
      <c r="B1388" t="inlineStr">
        <is>
          <t>Ascension Saint Thomas Hospital</t>
        </is>
      </c>
      <c r="C1388" t="inlineStr">
        <is>
          <t>TN</t>
        </is>
      </c>
      <c r="D1388" t="inlineStr">
        <is>
          <t>Metropolitan</t>
        </is>
      </c>
      <c r="E1388" s="5" t="n">
        <v>6382</v>
      </c>
      <c r="F1388" s="4" t="n">
        <v>0.5014102162331557</v>
      </c>
      <c r="G1388" s="4" t="n">
        <v>0.5043467040481422</v>
      </c>
      <c r="H1388" s="3" t="n">
        <v>131036913.0219397</v>
      </c>
      <c r="I1388" s="3" t="n">
        <v>-276266.845615387</v>
      </c>
      <c r="J1388" s="4" t="n">
        <v>-0.0021083131405051</v>
      </c>
      <c r="K1388">
        <f>IF(AND(I1388&gt;0,J1388&gt;=Assumptions!$B$4),1,0)</f>
        <v/>
      </c>
      <c r="L1388" s="3">
        <f>I1388*K1388</f>
        <v/>
      </c>
      <c r="M1388">
        <f>SUM($K$2:K1388)</f>
        <v/>
      </c>
    </row>
    <row r="1389">
      <c r="A1389" t="inlineStr">
        <is>
          <t>670120</t>
        </is>
      </c>
      <c r="B1389" t="inlineStr">
        <is>
          <t>The Hospitals Of Providence Transmountain Campus</t>
        </is>
      </c>
      <c r="C1389" t="inlineStr">
        <is>
          <t>TX</t>
        </is>
      </c>
      <c r="D1389" t="inlineStr">
        <is>
          <t>Metropolitan</t>
        </is>
      </c>
      <c r="E1389" s="5" t="n">
        <v>422</v>
      </c>
      <c r="F1389" s="4" t="n">
        <v>0.8791469194312796</v>
      </c>
      <c r="G1389" s="4" t="n">
        <v>0.7721325113701786</v>
      </c>
      <c r="H1389" s="3" t="n">
        <v>6206469.846361348</v>
      </c>
      <c r="I1389" s="3" t="n">
        <v>-281200.1158637349</v>
      </c>
      <c r="J1389" s="4" t="n">
        <v>-0.0453075778703079</v>
      </c>
      <c r="K1389">
        <f>IF(AND(I1389&gt;0,J1389&gt;=Assumptions!$B$4),1,0)</f>
        <v/>
      </c>
      <c r="L1389" s="3">
        <f>I1389*K1389</f>
        <v/>
      </c>
      <c r="M1389">
        <f>SUM($K$2:K1389)</f>
        <v/>
      </c>
    </row>
    <row r="1390">
      <c r="A1390" t="inlineStr">
        <is>
          <t>360123</t>
        </is>
      </c>
      <c r="B1390" t="inlineStr">
        <is>
          <t>Uh St John Medical Center</t>
        </is>
      </c>
      <c r="C1390" t="inlineStr">
        <is>
          <t>OH</t>
        </is>
      </c>
      <c r="D1390" t="inlineStr">
        <is>
          <t>Metropolitan</t>
        </is>
      </c>
      <c r="E1390" s="5" t="n">
        <v>1403</v>
      </c>
      <c r="F1390" s="4" t="n">
        <v>0.6022808267997148</v>
      </c>
      <c r="G1390" s="4" t="n">
        <v>0.5873289401956457</v>
      </c>
      <c r="H1390" s="3" t="n">
        <v>18598887.75970408</v>
      </c>
      <c r="I1390" s="3" t="n">
        <v>-281558.2024517544</v>
      </c>
      <c r="J1390" s="4" t="n">
        <v>-0.0151384430128005</v>
      </c>
      <c r="K1390">
        <f>IF(AND(I1390&gt;0,J1390&gt;=Assumptions!$B$4),1,0)</f>
        <v/>
      </c>
      <c r="L1390" s="3">
        <f>I1390*K1390</f>
        <v/>
      </c>
      <c r="M1390">
        <f>SUM($K$2:K1390)</f>
        <v/>
      </c>
    </row>
    <row r="1391">
      <c r="A1391" t="inlineStr">
        <is>
          <t>100238</t>
        </is>
      </c>
      <c r="B1391" t="inlineStr">
        <is>
          <t>Hca Florida Northside Hospital</t>
        </is>
      </c>
      <c r="C1391" t="inlineStr">
        <is>
          <t>FL</t>
        </is>
      </c>
      <c r="D1391" t="inlineStr">
        <is>
          <t>Metropolitan</t>
        </is>
      </c>
      <c r="E1391" s="5" t="n">
        <v>1256</v>
      </c>
      <c r="F1391" s="4" t="n">
        <v>0.6385350318471338</v>
      </c>
      <c r="G1391" s="4" t="n">
        <v>0.6171496517041315</v>
      </c>
      <c r="H1391" s="3" t="n">
        <v>17850310.70099031</v>
      </c>
      <c r="I1391" s="3" t="n">
        <v>-283303.7798074521</v>
      </c>
      <c r="J1391" s="4" t="n">
        <v>-0.0158710839577562</v>
      </c>
      <c r="K1391">
        <f>IF(AND(I1391&gt;0,J1391&gt;=Assumptions!$B$4),1,0)</f>
        <v/>
      </c>
      <c r="L1391" s="3">
        <f>I1391*K1391</f>
        <v/>
      </c>
      <c r="M1391">
        <f>SUM($K$2:K1391)</f>
        <v/>
      </c>
    </row>
    <row r="1392">
      <c r="A1392" t="inlineStr">
        <is>
          <t>360132</t>
        </is>
      </c>
      <c r="B1392" t="inlineStr">
        <is>
          <t>Fort Hamilton Hughes Memorial Hospital</t>
        </is>
      </c>
      <c r="C1392" t="inlineStr">
        <is>
          <t>OH</t>
        </is>
      </c>
      <c r="D1392" t="inlineStr">
        <is>
          <t>Metropolitan</t>
        </is>
      </c>
      <c r="E1392" s="5" t="n">
        <v>592</v>
      </c>
      <c r="F1392" s="4" t="n">
        <v>0.7347972972972973</v>
      </c>
      <c r="G1392" s="4" t="n">
        <v>0.690358578557738</v>
      </c>
      <c r="H1392" s="3" t="n">
        <v>7856833.010400253</v>
      </c>
      <c r="I1392" s="3" t="n">
        <v>-283395.9874774124</v>
      </c>
      <c r="J1392" s="4" t="n">
        <v>-0.0360700026463939</v>
      </c>
      <c r="K1392">
        <f>IF(AND(I1392&gt;0,J1392&gt;=Assumptions!$B$4),1,0)</f>
        <v/>
      </c>
      <c r="L1392" s="3">
        <f>I1392*K1392</f>
        <v/>
      </c>
      <c r="M1392">
        <f>SUM($K$2:K1392)</f>
        <v/>
      </c>
    </row>
    <row r="1393">
      <c r="A1393" t="inlineStr">
        <is>
          <t>340107</t>
        </is>
      </c>
      <c r="B1393" t="inlineStr">
        <is>
          <t>Vidant Edgecombe Hospital</t>
        </is>
      </c>
      <c r="C1393" t="inlineStr">
        <is>
          <t>NC</t>
        </is>
      </c>
      <c r="D1393" t="inlineStr">
        <is>
          <t>Micropolitan</t>
        </is>
      </c>
      <c r="E1393" s="5" t="n">
        <v>344</v>
      </c>
      <c r="F1393" s="4" t="n">
        <v>0.8808139534883721</v>
      </c>
      <c r="G1393" s="4" t="n">
        <v>0.7750662282226798</v>
      </c>
      <c r="H1393" s="3" t="n">
        <v>5006663.048359596</v>
      </c>
      <c r="I1393" s="3" t="n">
        <v>-284044.1374770924</v>
      </c>
      <c r="J1393" s="4" t="n">
        <v>-0.056733224252061</v>
      </c>
      <c r="K1393">
        <f>IF(AND(I1393&gt;0,J1393&gt;=Assumptions!$B$4),1,0)</f>
        <v/>
      </c>
      <c r="L1393" s="3">
        <f>I1393*K1393</f>
        <v/>
      </c>
      <c r="M1393">
        <f>SUM($K$2:K1393)</f>
        <v/>
      </c>
    </row>
    <row r="1394">
      <c r="A1394" t="inlineStr">
        <is>
          <t>050039</t>
        </is>
      </c>
      <c r="B1394" t="inlineStr">
        <is>
          <t>Enloe Health</t>
        </is>
      </c>
      <c r="C1394" t="inlineStr">
        <is>
          <t>CA</t>
        </is>
      </c>
      <c r="D1394" t="inlineStr">
        <is>
          <t>Metropolitan</t>
        </is>
      </c>
      <c r="E1394" s="5" t="n">
        <v>5929</v>
      </c>
      <c r="F1394" s="4" t="n">
        <v>0.5830662843649856</v>
      </c>
      <c r="G1394" s="4" t="n">
        <v>0.5674819041612051</v>
      </c>
      <c r="H1394" s="3" t="n">
        <v>95535369.59467436</v>
      </c>
      <c r="I1394" s="3" t="n">
        <v>-284110.1164712608</v>
      </c>
      <c r="J1394" s="4" t="n">
        <v>-0.0029738736310609</v>
      </c>
      <c r="K1394">
        <f>IF(AND(I1394&gt;0,J1394&gt;=Assumptions!$B$4),1,0)</f>
        <v/>
      </c>
      <c r="L1394" s="3">
        <f>I1394*K1394</f>
        <v/>
      </c>
      <c r="M1394">
        <f>SUM($K$2:K1394)</f>
        <v/>
      </c>
    </row>
    <row r="1395">
      <c r="A1395" t="inlineStr">
        <is>
          <t>370047</t>
        </is>
      </c>
      <c r="B1395" t="inlineStr">
        <is>
          <t>Mercy Hospital Ardmore, Inc</t>
        </is>
      </c>
      <c r="C1395" t="inlineStr">
        <is>
          <t>OK</t>
        </is>
      </c>
      <c r="D1395" t="inlineStr">
        <is>
          <t>Micropolitan</t>
        </is>
      </c>
      <c r="E1395" s="5" t="n">
        <v>1343</v>
      </c>
      <c r="F1395" s="4" t="n">
        <v>0.7304542069992555</v>
      </c>
      <c r="G1395" s="4" t="n">
        <v>0.6986889376755674</v>
      </c>
      <c r="H1395" s="3" t="n">
        <v>19105602.65371089</v>
      </c>
      <c r="I1395" s="3" t="n">
        <v>-284262.6397972256</v>
      </c>
      <c r="J1395" s="4" t="n">
        <v>-0.0148784963735238</v>
      </c>
      <c r="K1395">
        <f>IF(AND(I1395&gt;0,J1395&gt;=Assumptions!$B$4),1,0)</f>
        <v/>
      </c>
      <c r="L1395" s="3">
        <f>I1395*K1395</f>
        <v/>
      </c>
      <c r="M1395">
        <f>SUM($K$2:K1395)</f>
        <v/>
      </c>
    </row>
    <row r="1396">
      <c r="A1396" t="inlineStr">
        <is>
          <t>050313</t>
        </is>
      </c>
      <c r="B1396" t="inlineStr">
        <is>
          <t>Sutter Tracy Community Hospital</t>
        </is>
      </c>
      <c r="C1396" t="inlineStr">
        <is>
          <t>CA</t>
        </is>
      </c>
      <c r="D1396" t="inlineStr">
        <is>
          <t>Metropolitan</t>
        </is>
      </c>
      <c r="E1396" s="5" t="n">
        <v>519</v>
      </c>
      <c r="F1396" s="4" t="n">
        <v>0.7263969171483622</v>
      </c>
      <c r="G1396" s="4" t="n">
        <v>0.6895251361371327</v>
      </c>
      <c r="H1396" s="3" t="n">
        <v>8775798.628366552</v>
      </c>
      <c r="I1396" s="3" t="n">
        <v>-284296.4332539849</v>
      </c>
      <c r="J1396" s="4" t="n">
        <v>-0.0323955055594639</v>
      </c>
      <c r="K1396">
        <f>IF(AND(I1396&gt;0,J1396&gt;=Assumptions!$B$4),1,0)</f>
        <v/>
      </c>
      <c r="L1396" s="3">
        <f>I1396*K1396</f>
        <v/>
      </c>
      <c r="M1396">
        <f>SUM($K$2:K1396)</f>
        <v/>
      </c>
    </row>
    <row r="1397">
      <c r="A1397" t="inlineStr">
        <is>
          <t>290057</t>
        </is>
      </c>
      <c r="B1397" t="inlineStr">
        <is>
          <t>Henderson Hospital</t>
        </is>
      </c>
      <c r="C1397" t="inlineStr">
        <is>
          <t>NV</t>
        </is>
      </c>
      <c r="D1397" t="inlineStr">
        <is>
          <t>Metropolitan</t>
        </is>
      </c>
      <c r="E1397" s="5" t="n">
        <v>2218</v>
      </c>
      <c r="F1397" s="4" t="n">
        <v>0.6140667267808837</v>
      </c>
      <c r="G1397" s="4" t="n">
        <v>0.6015636773163022</v>
      </c>
      <c r="H1397" s="3" t="n">
        <v>29757928.52062917</v>
      </c>
      <c r="I1397" s="3" t="n">
        <v>-284989.211834725</v>
      </c>
      <c r="J1397" s="4" t="n">
        <v>-0.0095769170101057</v>
      </c>
      <c r="K1397">
        <f>IF(AND(I1397&gt;0,J1397&gt;=Assumptions!$B$4),1,0)</f>
        <v/>
      </c>
      <c r="L1397" s="3">
        <f>I1397*K1397</f>
        <v/>
      </c>
      <c r="M1397">
        <f>SUM($K$2:K1397)</f>
        <v/>
      </c>
    </row>
    <row r="1398">
      <c r="A1398" t="inlineStr">
        <is>
          <t>170023</t>
        </is>
      </c>
      <c r="B1398" t="inlineStr">
        <is>
          <t>Centura St. Catherine Hospital-Garden City</t>
        </is>
      </c>
      <c r="C1398" t="inlineStr">
        <is>
          <t>KS</t>
        </is>
      </c>
      <c r="D1398" t="inlineStr">
        <is>
          <t>Micropolitan</t>
        </is>
      </c>
      <c r="E1398" s="5" t="n">
        <v>338</v>
      </c>
      <c r="F1398" s="4" t="n">
        <v>0.7899408284023669</v>
      </c>
      <c r="G1398" s="4" t="n">
        <v>0.7311037393079581</v>
      </c>
      <c r="H1398" s="3" t="n">
        <v>5795886.002361139</v>
      </c>
      <c r="I1398" s="3" t="n">
        <v>-285275.742183716</v>
      </c>
      <c r="J1398" s="4" t="n">
        <v>-0.0492203852987273</v>
      </c>
      <c r="K1398">
        <f>IF(AND(I1398&gt;0,J1398&gt;=Assumptions!$B$4),1,0)</f>
        <v/>
      </c>
      <c r="L1398" s="3">
        <f>I1398*K1398</f>
        <v/>
      </c>
      <c r="M1398">
        <f>SUM($K$2:K1398)</f>
        <v/>
      </c>
    </row>
    <row r="1399">
      <c r="A1399" t="inlineStr">
        <is>
          <t>190060</t>
        </is>
      </c>
      <c r="B1399" t="inlineStr">
        <is>
          <t>Lake Charles Memorial Hospital</t>
        </is>
      </c>
      <c r="C1399" t="inlineStr">
        <is>
          <t>LA</t>
        </is>
      </c>
      <c r="D1399" t="inlineStr">
        <is>
          <t>Metropolitan</t>
        </is>
      </c>
      <c r="E1399" s="5" t="n">
        <v>1400</v>
      </c>
      <c r="F1399" s="4" t="n">
        <v>0.6735714285714286</v>
      </c>
      <c r="G1399" s="4" t="n">
        <v>0.629277454686883</v>
      </c>
      <c r="H1399" s="3" t="n">
        <v>22674938.47640005</v>
      </c>
      <c r="I1399" s="3" t="n">
        <v>-285529.6466753781</v>
      </c>
      <c r="J1399" s="4" t="n">
        <v>-0.0125923008334755</v>
      </c>
      <c r="K1399">
        <f>IF(AND(I1399&gt;0,J1399&gt;=Assumptions!$B$4),1,0)</f>
        <v/>
      </c>
      <c r="L1399" s="3">
        <f>I1399*K1399</f>
        <v/>
      </c>
      <c r="M1399">
        <f>SUM($K$2:K1399)</f>
        <v/>
      </c>
    </row>
    <row r="1400">
      <c r="A1400" t="inlineStr">
        <is>
          <t>360078</t>
        </is>
      </c>
      <c r="B1400" t="inlineStr">
        <is>
          <t>University Hospitals Portage Medical Center</t>
        </is>
      </c>
      <c r="C1400" t="inlineStr">
        <is>
          <t>OH</t>
        </is>
      </c>
      <c r="D1400" t="inlineStr">
        <is>
          <t>Metropolitan</t>
        </is>
      </c>
      <c r="E1400" s="5" t="n">
        <v>591</v>
      </c>
      <c r="F1400" s="4" t="n">
        <v>0.7800338409475466</v>
      </c>
      <c r="G1400" s="4" t="n">
        <v>0.7183217673542148</v>
      </c>
      <c r="H1400" s="3" t="n">
        <v>8072552.725386937</v>
      </c>
      <c r="I1400" s="3" t="n">
        <v>-287778.4563461542</v>
      </c>
      <c r="J1400" s="4" t="n">
        <v>-0.0356490030026233</v>
      </c>
      <c r="K1400">
        <f>IF(AND(I1400&gt;0,J1400&gt;=Assumptions!$B$4),1,0)</f>
        <v/>
      </c>
      <c r="L1400" s="3">
        <f>I1400*K1400</f>
        <v/>
      </c>
      <c r="M1400">
        <f>SUM($K$2:K1400)</f>
        <v/>
      </c>
    </row>
    <row r="1401">
      <c r="A1401" t="inlineStr">
        <is>
          <t>110011</t>
        </is>
      </c>
      <c r="B1401" t="inlineStr">
        <is>
          <t>Tanner Medical Center - Carrollton</t>
        </is>
      </c>
      <c r="C1401" t="inlineStr">
        <is>
          <t>GA</t>
        </is>
      </c>
      <c r="D1401" t="inlineStr">
        <is>
          <t>Micropolitan</t>
        </is>
      </c>
      <c r="E1401" s="5" t="n">
        <v>1364</v>
      </c>
      <c r="F1401" s="4" t="n">
        <v>0.6781524926686217</v>
      </c>
      <c r="G1401" s="4" t="n">
        <v>0.6275580105332497</v>
      </c>
      <c r="H1401" s="3" t="n">
        <v>19179006.56474845</v>
      </c>
      <c r="I1401" s="3" t="n">
        <v>-290635.3672688305</v>
      </c>
      <c r="J1401" s="4" t="n">
        <v>-0.0151538280300204</v>
      </c>
      <c r="K1401">
        <f>IF(AND(I1401&gt;0,J1401&gt;=Assumptions!$B$4),1,0)</f>
        <v/>
      </c>
      <c r="L1401" s="3">
        <f>I1401*K1401</f>
        <v/>
      </c>
      <c r="M1401">
        <f>SUM($K$2:K1401)</f>
        <v/>
      </c>
    </row>
    <row r="1402">
      <c r="A1402" t="inlineStr">
        <is>
          <t>160080</t>
        </is>
      </c>
      <c r="B1402" t="inlineStr">
        <is>
          <t>Mercyone Clinton Medical Center</t>
        </is>
      </c>
      <c r="C1402" t="inlineStr">
        <is>
          <t>IA</t>
        </is>
      </c>
      <c r="D1402" t="inlineStr">
        <is>
          <t>Micropolitan</t>
        </is>
      </c>
      <c r="E1402" s="5" t="n">
        <v>494</v>
      </c>
      <c r="F1402" s="4" t="n">
        <v>0.7591093117408907</v>
      </c>
      <c r="G1402" s="4" t="n">
        <v>0.6868680163308327</v>
      </c>
      <c r="H1402" s="3" t="n">
        <v>6283143.999868084</v>
      </c>
      <c r="I1402" s="3" t="n">
        <v>-291230.1539156269</v>
      </c>
      <c r="J1402" s="4" t="n">
        <v>-0.0463510232968942</v>
      </c>
      <c r="K1402">
        <f>IF(AND(I1402&gt;0,J1402&gt;=Assumptions!$B$4),1,0)</f>
        <v/>
      </c>
      <c r="L1402" s="3">
        <f>I1402*K1402</f>
        <v/>
      </c>
      <c r="M1402">
        <f>SUM($K$2:K1402)</f>
        <v/>
      </c>
    </row>
    <row r="1403">
      <c r="A1403" t="inlineStr">
        <is>
          <t>210035</t>
        </is>
      </c>
      <c r="B1403" t="inlineStr">
        <is>
          <t>University Of Md Charles Regional  Medical Center</t>
        </is>
      </c>
      <c r="C1403" t="inlineStr">
        <is>
          <t>MD</t>
        </is>
      </c>
      <c r="D1403" t="inlineStr">
        <is>
          <t>Metropolitan</t>
        </is>
      </c>
      <c r="E1403" s="5" t="n">
        <v>1371</v>
      </c>
      <c r="F1403" s="4" t="n">
        <v>0.7060539752005836</v>
      </c>
      <c r="G1403" s="4" t="n">
        <v>0.6903824347674452</v>
      </c>
      <c r="H1403" s="3" t="n">
        <v>21228600.74881001</v>
      </c>
      <c r="I1403" s="3" t="n">
        <v>-292586.5917776376</v>
      </c>
      <c r="J1403" s="4" t="n">
        <v>-0.0137826602534808</v>
      </c>
      <c r="K1403">
        <f>IF(AND(I1403&gt;0,J1403&gt;=Assumptions!$B$4),1,0)</f>
        <v/>
      </c>
      <c r="L1403" s="3">
        <f>I1403*K1403</f>
        <v/>
      </c>
      <c r="M1403">
        <f>SUM($K$2:K1403)</f>
        <v/>
      </c>
    </row>
    <row r="1404">
      <c r="A1404" t="inlineStr">
        <is>
          <t>110018</t>
        </is>
      </c>
      <c r="B1404" t="inlineStr">
        <is>
          <t>Piedmont Newton Hospital</t>
        </is>
      </c>
      <c r="C1404" t="inlineStr">
        <is>
          <t>GA</t>
        </is>
      </c>
      <c r="D1404" t="inlineStr">
        <is>
          <t>Metropolitan</t>
        </is>
      </c>
      <c r="E1404" s="5" t="n">
        <v>665</v>
      </c>
      <c r="F1404" s="4" t="n">
        <v>0.7924812030075188</v>
      </c>
      <c r="G1404" s="4" t="n">
        <v>0.7136002208760049</v>
      </c>
      <c r="H1404" s="3" t="n">
        <v>8917089.858720494</v>
      </c>
      <c r="I1404" s="3" t="n">
        <v>-292869.3158768751</v>
      </c>
      <c r="J1404" s="4" t="n">
        <v>-0.0328435981376213</v>
      </c>
      <c r="K1404">
        <f>IF(AND(I1404&gt;0,J1404&gt;=Assumptions!$B$4),1,0)</f>
        <v/>
      </c>
      <c r="L1404" s="3">
        <f>I1404*K1404</f>
        <v/>
      </c>
      <c r="M1404">
        <f>SUM($K$2:K1404)</f>
        <v/>
      </c>
    </row>
    <row r="1405">
      <c r="A1405" t="inlineStr">
        <is>
          <t>100028</t>
        </is>
      </c>
      <c r="B1405" t="inlineStr">
        <is>
          <t>Parrish Medical Center</t>
        </is>
      </c>
      <c r="C1405" t="inlineStr">
        <is>
          <t>FL</t>
        </is>
      </c>
      <c r="D1405" t="inlineStr">
        <is>
          <t>Metropolitan</t>
        </is>
      </c>
      <c r="E1405" s="5" t="n">
        <v>660</v>
      </c>
      <c r="F1405" s="4" t="n">
        <v>0.746969696969697</v>
      </c>
      <c r="G1405" s="4" t="n">
        <v>0.6772966837050054</v>
      </c>
      <c r="H1405" s="3" t="n">
        <v>9450526.958021538</v>
      </c>
      <c r="I1405" s="3" t="n">
        <v>-294733.7590517737</v>
      </c>
      <c r="J1405" s="4" t="n">
        <v>-0.0311870184975882</v>
      </c>
      <c r="K1405">
        <f>IF(AND(I1405&gt;0,J1405&gt;=Assumptions!$B$4),1,0)</f>
        <v/>
      </c>
      <c r="L1405" s="3">
        <f>I1405*K1405</f>
        <v/>
      </c>
      <c r="M1405">
        <f>SUM($K$2:K1405)</f>
        <v/>
      </c>
    </row>
    <row r="1406">
      <c r="A1406" t="inlineStr">
        <is>
          <t>100314</t>
        </is>
      </c>
      <c r="B1406" t="inlineStr">
        <is>
          <t>West Kendall Baptist Hospital</t>
        </is>
      </c>
      <c r="C1406" t="inlineStr">
        <is>
          <t>FL</t>
        </is>
      </c>
      <c r="D1406" t="inlineStr">
        <is>
          <t>Metropolitan</t>
        </is>
      </c>
      <c r="E1406" s="5" t="n">
        <v>892</v>
      </c>
      <c r="F1406" s="4" t="n">
        <v>0.7623318385650224</v>
      </c>
      <c r="G1406" s="4" t="n">
        <v>0.7116315435488141</v>
      </c>
      <c r="H1406" s="3" t="n">
        <v>11760924.77626329</v>
      </c>
      <c r="I1406" s="3" t="n">
        <v>-295191.7928557675</v>
      </c>
      <c r="J1406" s="4" t="n">
        <v>-0.0250993691798406</v>
      </c>
      <c r="K1406">
        <f>IF(AND(I1406&gt;0,J1406&gt;=Assumptions!$B$4),1,0)</f>
        <v/>
      </c>
      <c r="L1406" s="3">
        <f>I1406*K1406</f>
        <v/>
      </c>
      <c r="M1406">
        <f>SUM($K$2:K1406)</f>
        <v/>
      </c>
    </row>
    <row r="1407">
      <c r="A1407" t="inlineStr">
        <is>
          <t>110198</t>
        </is>
      </c>
      <c r="B1407" t="inlineStr">
        <is>
          <t>Wellstar North Fulton Hospital</t>
        </is>
      </c>
      <c r="C1407" t="inlineStr">
        <is>
          <t>GA</t>
        </is>
      </c>
      <c r="D1407" t="inlineStr">
        <is>
          <t>Metropolitan</t>
        </is>
      </c>
      <c r="E1407" s="5" t="n">
        <v>1223</v>
      </c>
      <c r="F1407" s="4" t="n">
        <v>0.6116107931316435</v>
      </c>
      <c r="G1407" s="4" t="n">
        <v>0.5699555191925698</v>
      </c>
      <c r="H1407" s="3" t="n">
        <v>16864443.22793977</v>
      </c>
      <c r="I1407" s="3" t="n">
        <v>-296890.8135421947</v>
      </c>
      <c r="J1407" s="4" t="n">
        <v>-0.0176045428556056</v>
      </c>
      <c r="K1407">
        <f>IF(AND(I1407&gt;0,J1407&gt;=Assumptions!$B$4),1,0)</f>
        <v/>
      </c>
      <c r="L1407" s="3">
        <f>I1407*K1407</f>
        <v/>
      </c>
      <c r="M1407">
        <f>SUM($K$2:K1407)</f>
        <v/>
      </c>
    </row>
    <row r="1408">
      <c r="A1408" t="inlineStr">
        <is>
          <t>030111</t>
        </is>
      </c>
      <c r="B1408" t="inlineStr">
        <is>
          <t>Banner-University Medical Center South Campus</t>
        </is>
      </c>
      <c r="C1408" t="inlineStr">
        <is>
          <t>AZ</t>
        </is>
      </c>
      <c r="D1408" t="inlineStr">
        <is>
          <t>Metropolitan</t>
        </is>
      </c>
      <c r="E1408" s="5" t="n">
        <v>379</v>
      </c>
      <c r="F1408" s="4" t="n">
        <v>0.8891820580474934</v>
      </c>
      <c r="G1408" s="4" t="n">
        <v>0.7567970955139616</v>
      </c>
      <c r="H1408" s="3" t="n">
        <v>5891476.187738111</v>
      </c>
      <c r="I1408" s="3" t="n">
        <v>-297531.317100483</v>
      </c>
      <c r="J1408" s="4" t="n">
        <v>-0.0505019977369564</v>
      </c>
      <c r="K1408">
        <f>IF(AND(I1408&gt;0,J1408&gt;=Assumptions!$B$4),1,0)</f>
        <v/>
      </c>
      <c r="L1408" s="3">
        <f>I1408*K1408</f>
        <v/>
      </c>
      <c r="M1408">
        <f>SUM($K$2:K1408)</f>
        <v/>
      </c>
    </row>
    <row r="1409">
      <c r="A1409" t="inlineStr">
        <is>
          <t>230142</t>
        </is>
      </c>
      <c r="B1409" t="inlineStr">
        <is>
          <t>Beaumont Hospital - Wayne</t>
        </is>
      </c>
      <c r="C1409" t="inlineStr">
        <is>
          <t>MI</t>
        </is>
      </c>
      <c r="D1409" t="inlineStr">
        <is>
          <t>Metropolitan</t>
        </is>
      </c>
      <c r="E1409" s="5" t="n">
        <v>560</v>
      </c>
      <c r="F1409" s="4" t="n">
        <v>0.7428571428571429</v>
      </c>
      <c r="G1409" s="4" t="n">
        <v>0.6546174465336591</v>
      </c>
      <c r="H1409" s="3" t="n">
        <v>6855066.76161343</v>
      </c>
      <c r="I1409" s="3" t="n">
        <v>-298235.2861211598</v>
      </c>
      <c r="J1409" s="4" t="n">
        <v>-0.0435058178851297</v>
      </c>
      <c r="K1409">
        <f>IF(AND(I1409&gt;0,J1409&gt;=Assumptions!$B$4),1,0)</f>
        <v/>
      </c>
      <c r="L1409" s="3">
        <f>I1409*K1409</f>
        <v/>
      </c>
      <c r="M1409">
        <f>SUM($K$2:K1409)</f>
        <v/>
      </c>
    </row>
    <row r="1410">
      <c r="A1410" t="inlineStr">
        <is>
          <t>500108</t>
        </is>
      </c>
      <c r="B1410" t="inlineStr">
        <is>
          <t>St Joseph Medical Center</t>
        </is>
      </c>
      <c r="C1410" t="inlineStr">
        <is>
          <t>WA</t>
        </is>
      </c>
      <c r="D1410" t="inlineStr">
        <is>
          <t>Metropolitan</t>
        </is>
      </c>
      <c r="E1410" s="5" t="n">
        <v>2381</v>
      </c>
      <c r="F1410" s="4" t="n">
        <v>0.5846283074338513</v>
      </c>
      <c r="G1410" s="4" t="n">
        <v>0.5433188740028008</v>
      </c>
      <c r="H1410" s="3" t="n">
        <v>50408285.12308178</v>
      </c>
      <c r="I1410" s="3" t="n">
        <v>-298650.5923332125</v>
      </c>
      <c r="J1410" s="4" t="n">
        <v>-0.0059246330559351</v>
      </c>
      <c r="K1410">
        <f>IF(AND(I1410&gt;0,J1410&gt;=Assumptions!$B$4),1,0)</f>
        <v/>
      </c>
      <c r="L1410" s="3">
        <f>I1410*K1410</f>
        <v/>
      </c>
      <c r="M1410">
        <f>SUM($K$2:K1410)</f>
        <v/>
      </c>
    </row>
    <row r="1411">
      <c r="A1411" t="inlineStr">
        <is>
          <t>060001</t>
        </is>
      </c>
      <c r="B1411" t="inlineStr">
        <is>
          <t>Banner North Colorado Medical Center</t>
        </is>
      </c>
      <c r="C1411" t="inlineStr">
        <is>
          <t>CO</t>
        </is>
      </c>
      <c r="D1411" t="inlineStr">
        <is>
          <t>Metropolitan</t>
        </is>
      </c>
      <c r="E1411" s="5" t="n">
        <v>539</v>
      </c>
      <c r="F1411" s="4" t="n">
        <v>0.6975881261595547</v>
      </c>
      <c r="G1411" s="4" t="n">
        <v>0.6590014036634195</v>
      </c>
      <c r="H1411" s="3" t="n">
        <v>9445226.1906741</v>
      </c>
      <c r="I1411" s="3" t="n">
        <v>-300123.7866486087</v>
      </c>
      <c r="J1411" s="4" t="n">
        <v>-0.0317751825726461</v>
      </c>
      <c r="K1411">
        <f>IF(AND(I1411&gt;0,J1411&gt;=Assumptions!$B$4),1,0)</f>
        <v/>
      </c>
      <c r="L1411" s="3">
        <f>I1411*K1411</f>
        <v/>
      </c>
      <c r="M1411">
        <f>SUM($K$2:K1411)</f>
        <v/>
      </c>
    </row>
    <row r="1412">
      <c r="A1412" t="inlineStr">
        <is>
          <t>210040</t>
        </is>
      </c>
      <c r="B1412" t="inlineStr">
        <is>
          <t>Northwest Hospital Center</t>
        </is>
      </c>
      <c r="C1412" t="inlineStr">
        <is>
          <t>MD</t>
        </is>
      </c>
      <c r="D1412" t="inlineStr">
        <is>
          <t>Metropolitan</t>
        </is>
      </c>
      <c r="E1412" s="5" t="n">
        <v>2008</v>
      </c>
      <c r="F1412" s="4" t="n">
        <v>0.6324701195219123</v>
      </c>
      <c r="G1412" s="4" t="n">
        <v>0.638072419867918</v>
      </c>
      <c r="H1412" s="3" t="n">
        <v>26743609.03961892</v>
      </c>
      <c r="I1412" s="3" t="n">
        <v>-300248.3078029603</v>
      </c>
      <c r="J1412" s="4" t="n">
        <v>-0.0112269180781906</v>
      </c>
      <c r="K1412">
        <f>IF(AND(I1412&gt;0,J1412&gt;=Assumptions!$B$4),1,0)</f>
        <v/>
      </c>
      <c r="L1412" s="3">
        <f>I1412*K1412</f>
        <v/>
      </c>
      <c r="M1412">
        <f>SUM($K$2:K1412)</f>
        <v/>
      </c>
    </row>
    <row r="1413">
      <c r="A1413" t="inlineStr">
        <is>
          <t>050038</t>
        </is>
      </c>
      <c r="B1413" t="inlineStr">
        <is>
          <t>Santa Clara Valley Medical Center</t>
        </is>
      </c>
      <c r="C1413" t="inlineStr">
        <is>
          <t>CA</t>
        </is>
      </c>
      <c r="D1413" t="inlineStr">
        <is>
          <t>Metropolitan</t>
        </is>
      </c>
      <c r="E1413" s="5" t="n">
        <v>3471</v>
      </c>
      <c r="F1413" s="4" t="n">
        <v>0.6358398156150965</v>
      </c>
      <c r="G1413" s="4" t="n">
        <v>0.6302725291774134</v>
      </c>
      <c r="H1413" s="3" t="n">
        <v>50749292.95072737</v>
      </c>
      <c r="I1413" s="3" t="n">
        <v>-300301.6038959101</v>
      </c>
      <c r="J1413" s="4" t="n">
        <v>-0.0059173554237981</v>
      </c>
      <c r="K1413">
        <f>IF(AND(I1413&gt;0,J1413&gt;=Assumptions!$B$4),1,0)</f>
        <v/>
      </c>
      <c r="L1413" s="3">
        <f>I1413*K1413</f>
        <v/>
      </c>
      <c r="M1413">
        <f>SUM($K$2:K1413)</f>
        <v/>
      </c>
    </row>
    <row r="1414">
      <c r="A1414" t="inlineStr">
        <is>
          <t>110023</t>
        </is>
      </c>
      <c r="B1414" t="inlineStr">
        <is>
          <t>Adventhealth Gordon</t>
        </is>
      </c>
      <c r="C1414" t="inlineStr">
        <is>
          <t>GA</t>
        </is>
      </c>
      <c r="D1414" t="inlineStr">
        <is>
          <t>Micropolitan</t>
        </is>
      </c>
      <c r="E1414" s="5" t="n">
        <v>518</v>
      </c>
      <c r="F1414" s="4" t="n">
        <v>0.777992277992278</v>
      </c>
      <c r="G1414" s="4" t="n">
        <v>0.6998531755934417</v>
      </c>
      <c r="H1414" s="3" t="n">
        <v>7758832.22877211</v>
      </c>
      <c r="I1414" s="3" t="n">
        <v>-301323.9592356691</v>
      </c>
      <c r="J1414" s="4" t="n">
        <v>-0.03883625142947</v>
      </c>
      <c r="K1414">
        <f>IF(AND(I1414&gt;0,J1414&gt;=Assumptions!$B$4),1,0)</f>
        <v/>
      </c>
      <c r="L1414" s="3">
        <f>I1414*K1414</f>
        <v/>
      </c>
      <c r="M1414">
        <f>SUM($K$2:K1414)</f>
        <v/>
      </c>
    </row>
    <row r="1415">
      <c r="A1415" t="inlineStr">
        <is>
          <t>300019</t>
        </is>
      </c>
      <c r="B1415" t="inlineStr">
        <is>
          <t>Cheshire Medical Center</t>
        </is>
      </c>
      <c r="C1415" t="inlineStr">
        <is>
          <t>NH</t>
        </is>
      </c>
      <c r="D1415" t="inlineStr">
        <is>
          <t>Micropolitan</t>
        </is>
      </c>
      <c r="E1415" s="5" t="n">
        <v>658</v>
      </c>
      <c r="F1415" s="4" t="n">
        <v>0.7857142857142857</v>
      </c>
      <c r="G1415" s="4" t="n">
        <v>0.7048270965835781</v>
      </c>
      <c r="H1415" s="3" t="n">
        <v>9178148.645999432</v>
      </c>
      <c r="I1415" s="3" t="n">
        <v>-302960.0535007305</v>
      </c>
      <c r="J1415" s="4" t="n">
        <v>-0.033008841454402</v>
      </c>
      <c r="K1415">
        <f>IF(AND(I1415&gt;0,J1415&gt;=Assumptions!$B$4),1,0)</f>
        <v/>
      </c>
      <c r="L1415" s="3">
        <f>I1415*K1415</f>
        <v/>
      </c>
      <c r="M1415">
        <f>SUM($K$2:K1415)</f>
        <v/>
      </c>
    </row>
    <row r="1416">
      <c r="A1416" t="inlineStr">
        <is>
          <t>450855</t>
        </is>
      </c>
      <c r="B1416" t="inlineStr">
        <is>
          <t>Harlingen Medical Center</t>
        </is>
      </c>
      <c r="C1416" t="inlineStr">
        <is>
          <t>TX</t>
        </is>
      </c>
      <c r="D1416" t="inlineStr">
        <is>
          <t>Metropolitan</t>
        </is>
      </c>
      <c r="E1416" s="5" t="n">
        <v>467</v>
      </c>
      <c r="F1416" s="4" t="n">
        <v>0.7858672376873662</v>
      </c>
      <c r="G1416" s="4" t="n">
        <v>0.7151893157907315</v>
      </c>
      <c r="H1416" s="3" t="n">
        <v>7034558.957046054</v>
      </c>
      <c r="I1416" s="3" t="n">
        <v>-303265.8743811119</v>
      </c>
      <c r="J1416" s="4" t="n">
        <v>-0.0431108582972853</v>
      </c>
      <c r="K1416">
        <f>IF(AND(I1416&gt;0,J1416&gt;=Assumptions!$B$4),1,0)</f>
        <v/>
      </c>
      <c r="L1416" s="3">
        <f>I1416*K1416</f>
        <v/>
      </c>
      <c r="M1416">
        <f>SUM($K$2:K1416)</f>
        <v/>
      </c>
    </row>
    <row r="1417">
      <c r="A1417" t="inlineStr">
        <is>
          <t>340126</t>
        </is>
      </c>
      <c r="B1417" t="inlineStr">
        <is>
          <t>Wilson Medical Center</t>
        </is>
      </c>
      <c r="C1417" t="inlineStr">
        <is>
          <t>NC</t>
        </is>
      </c>
      <c r="D1417" t="inlineStr">
        <is>
          <t>Micropolitan</t>
        </is>
      </c>
      <c r="E1417" s="5" t="n">
        <v>614</v>
      </c>
      <c r="F1417" s="4" t="n">
        <v>0.8159609120521173</v>
      </c>
      <c r="G1417" s="4" t="n">
        <v>0.7140433968043671</v>
      </c>
      <c r="H1417" s="3" t="n">
        <v>8003225.926755046</v>
      </c>
      <c r="I1417" s="3" t="n">
        <v>-304747.0836955253</v>
      </c>
      <c r="J1417" s="4" t="n">
        <v>-0.0380780308446305</v>
      </c>
      <c r="K1417">
        <f>IF(AND(I1417&gt;0,J1417&gt;=Assumptions!$B$4),1,0)</f>
        <v/>
      </c>
      <c r="L1417" s="3">
        <f>I1417*K1417</f>
        <v/>
      </c>
      <c r="M1417">
        <f>SUM($K$2:K1417)</f>
        <v/>
      </c>
    </row>
    <row r="1418">
      <c r="A1418" t="inlineStr">
        <is>
          <t>290047</t>
        </is>
      </c>
      <c r="B1418" t="inlineStr">
        <is>
          <t>Southern Hills Hospital And Medical Center</t>
        </is>
      </c>
      <c r="C1418" t="inlineStr">
        <is>
          <t>NV</t>
        </is>
      </c>
      <c r="D1418" t="inlineStr">
        <is>
          <t>Metropolitan</t>
        </is>
      </c>
      <c r="E1418" s="5" t="n">
        <v>1678</v>
      </c>
      <c r="F1418" s="4" t="n">
        <v>0.6060786650774732</v>
      </c>
      <c r="G1418" s="4" t="n">
        <v>0.5873577509498715</v>
      </c>
      <c r="H1418" s="3" t="n">
        <v>29740931.87223684</v>
      </c>
      <c r="I1418" s="3" t="n">
        <v>-308126.1318638399</v>
      </c>
      <c r="J1418" s="4" t="n">
        <v>-0.0103603388484096</v>
      </c>
      <c r="K1418">
        <f>IF(AND(I1418&gt;0,J1418&gt;=Assumptions!$B$4),1,0)</f>
        <v/>
      </c>
      <c r="L1418" s="3">
        <f>I1418*K1418</f>
        <v/>
      </c>
      <c r="M1418">
        <f>SUM($K$2:K1418)</f>
        <v/>
      </c>
    </row>
    <row r="1419">
      <c r="A1419" t="inlineStr">
        <is>
          <t>390225</t>
        </is>
      </c>
      <c r="B1419" t="inlineStr">
        <is>
          <t>Wellspan Ephrata Community Hospital</t>
        </is>
      </c>
      <c r="C1419" t="inlineStr">
        <is>
          <t>PA</t>
        </is>
      </c>
      <c r="D1419" t="inlineStr">
        <is>
          <t>Metropolitan</t>
        </is>
      </c>
      <c r="E1419" s="5" t="n">
        <v>787</v>
      </c>
      <c r="F1419" s="4" t="n">
        <v>0.6899618805590851</v>
      </c>
      <c r="G1419" s="4" t="n">
        <v>0.6874522126093701</v>
      </c>
      <c r="H1419" s="3" t="n">
        <v>11985339.34860102</v>
      </c>
      <c r="I1419" s="3" t="n">
        <v>-308705.5492222793</v>
      </c>
      <c r="J1419" s="4" t="n">
        <v>-0.0257569302164408</v>
      </c>
      <c r="K1419">
        <f>IF(AND(I1419&gt;0,J1419&gt;=Assumptions!$B$4),1,0)</f>
        <v/>
      </c>
      <c r="L1419" s="3">
        <f>I1419*K1419</f>
        <v/>
      </c>
      <c r="M1419">
        <f>SUM($K$2:K1419)</f>
        <v/>
      </c>
    </row>
    <row r="1420">
      <c r="A1420" t="inlineStr">
        <is>
          <t>450087</t>
        </is>
      </c>
      <c r="B1420" t="inlineStr">
        <is>
          <t>Medical City North Hills</t>
        </is>
      </c>
      <c r="C1420" t="inlineStr">
        <is>
          <t>TX</t>
        </is>
      </c>
      <c r="D1420" t="inlineStr">
        <is>
          <t>Metropolitan</t>
        </is>
      </c>
      <c r="E1420" s="5" t="n">
        <v>787</v>
      </c>
      <c r="F1420" s="4" t="n">
        <v>0.7013977128335451</v>
      </c>
      <c r="G1420" s="4" t="n">
        <v>0.6411545644293513</v>
      </c>
      <c r="H1420" s="3" t="n">
        <v>10394843.36550746</v>
      </c>
      <c r="I1420" s="3" t="n">
        <v>-309838.478519557</v>
      </c>
      <c r="J1420" s="4" t="n">
        <v>-0.0298069405786021</v>
      </c>
      <c r="K1420">
        <f>IF(AND(I1420&gt;0,J1420&gt;=Assumptions!$B$4),1,0)</f>
        <v/>
      </c>
      <c r="L1420" s="3">
        <f>I1420*K1420</f>
        <v/>
      </c>
      <c r="M1420">
        <f>SUM($K$2:K1420)</f>
        <v/>
      </c>
    </row>
    <row r="1421">
      <c r="A1421" t="inlineStr">
        <is>
          <t>050024</t>
        </is>
      </c>
      <c r="B1421" t="inlineStr">
        <is>
          <t>Paradise Valley Hospital</t>
        </is>
      </c>
      <c r="C1421" t="inlineStr">
        <is>
          <t>CA</t>
        </is>
      </c>
      <c r="D1421" t="inlineStr">
        <is>
          <t>Metropolitan</t>
        </is>
      </c>
      <c r="E1421" s="5" t="n">
        <v>352</v>
      </c>
      <c r="F1421" s="4" t="n">
        <v>0.8267045454545454</v>
      </c>
      <c r="G1421" s="4" t="n">
        <v>0.6766001347146736</v>
      </c>
      <c r="H1421" s="3" t="n">
        <v>4572946.046797492</v>
      </c>
      <c r="I1421" s="3" t="n">
        <v>-309881.3385340813</v>
      </c>
      <c r="J1421" s="4" t="n">
        <v>-0.0677640486817237</v>
      </c>
      <c r="K1421">
        <f>IF(AND(I1421&gt;0,J1421&gt;=Assumptions!$B$4),1,0)</f>
        <v/>
      </c>
      <c r="L1421" s="3">
        <f>I1421*K1421</f>
        <v/>
      </c>
      <c r="M1421">
        <f>SUM($K$2:K1421)</f>
        <v/>
      </c>
    </row>
    <row r="1422">
      <c r="A1422" t="inlineStr">
        <is>
          <t>190065</t>
        </is>
      </c>
      <c r="B1422" t="inlineStr">
        <is>
          <t>Baton Rouge General Medical Center</t>
        </is>
      </c>
      <c r="C1422" t="inlineStr">
        <is>
          <t>LA</t>
        </is>
      </c>
      <c r="D1422" t="inlineStr">
        <is>
          <t>Metropolitan</t>
        </is>
      </c>
      <c r="E1422" s="5" t="n">
        <v>2123</v>
      </c>
      <c r="F1422" s="4" t="n">
        <v>0.6740461610927933</v>
      </c>
      <c r="G1422" s="4" t="n">
        <v>0.6073002906121764</v>
      </c>
      <c r="H1422" s="3" t="n">
        <v>36059650.47388042</v>
      </c>
      <c r="I1422" s="3" t="n">
        <v>-310769.1084405929</v>
      </c>
      <c r="J1422" s="4" t="n">
        <v>-0.0086181952502755</v>
      </c>
      <c r="K1422">
        <f>IF(AND(I1422&gt;0,J1422&gt;=Assumptions!$B$4),1,0)</f>
        <v/>
      </c>
      <c r="L1422" s="3">
        <f>I1422*K1422</f>
        <v/>
      </c>
      <c r="M1422">
        <f>SUM($K$2:K1422)</f>
        <v/>
      </c>
    </row>
    <row r="1423">
      <c r="A1423" t="inlineStr">
        <is>
          <t>450196</t>
        </is>
      </c>
      <c r="B1423" t="inlineStr">
        <is>
          <t>Paris Regional Health</t>
        </is>
      </c>
      <c r="C1423" t="inlineStr">
        <is>
          <t>TX</t>
        </is>
      </c>
      <c r="D1423" t="inlineStr">
        <is>
          <t>Micropolitan</t>
        </is>
      </c>
      <c r="E1423" s="5" t="n">
        <v>1601</v>
      </c>
      <c r="F1423" s="4" t="n">
        <v>0.6189881324172393</v>
      </c>
      <c r="G1423" s="4" t="n">
        <v>0.598940863457918</v>
      </c>
      <c r="H1423" s="3" t="n">
        <v>20630220.10549694</v>
      </c>
      <c r="I1423" s="3" t="n">
        <v>-313030.1447635591</v>
      </c>
      <c r="J1423" s="4" t="n">
        <v>-0.0151733788182003</v>
      </c>
      <c r="K1423">
        <f>IF(AND(I1423&gt;0,J1423&gt;=Assumptions!$B$4),1,0)</f>
        <v/>
      </c>
      <c r="L1423" s="3">
        <f>I1423*K1423</f>
        <v/>
      </c>
      <c r="M1423">
        <f>SUM($K$2:K1423)</f>
        <v/>
      </c>
    </row>
    <row r="1424">
      <c r="A1424" t="inlineStr">
        <is>
          <t>260006</t>
        </is>
      </c>
      <c r="B1424" t="inlineStr">
        <is>
          <t>Mosaic Life Care At St Joseph</t>
        </is>
      </c>
      <c r="C1424" t="inlineStr">
        <is>
          <t>MO</t>
        </is>
      </c>
      <c r="D1424" t="inlineStr">
        <is>
          <t>Metropolitan</t>
        </is>
      </c>
      <c r="E1424" s="5" t="n">
        <v>3501</v>
      </c>
      <c r="F1424" s="4" t="n">
        <v>0.5952584975721222</v>
      </c>
      <c r="G1424" s="4" t="n">
        <v>0.5874845333248399</v>
      </c>
      <c r="H1424" s="3" t="n">
        <v>57009723.08148597</v>
      </c>
      <c r="I1424" s="3" t="n">
        <v>-314205.8757475317</v>
      </c>
      <c r="J1424" s="4" t="n">
        <v>-0.0055114436409106</v>
      </c>
      <c r="K1424">
        <f>IF(AND(I1424&gt;0,J1424&gt;=Assumptions!$B$4),1,0)</f>
        <v/>
      </c>
      <c r="L1424" s="3">
        <f>I1424*K1424</f>
        <v/>
      </c>
      <c r="M1424">
        <f>SUM($K$2:K1424)</f>
        <v/>
      </c>
    </row>
    <row r="1425">
      <c r="A1425" t="inlineStr">
        <is>
          <t>500015</t>
        </is>
      </c>
      <c r="B1425" t="inlineStr">
        <is>
          <t>Multicare Auburn Medical Center</t>
        </is>
      </c>
      <c r="C1425" t="inlineStr">
        <is>
          <t>WA</t>
        </is>
      </c>
      <c r="D1425" t="inlineStr">
        <is>
          <t>Metropolitan</t>
        </is>
      </c>
      <c r="E1425" s="5" t="n">
        <v>568</v>
      </c>
      <c r="F1425" s="4" t="n">
        <v>0.8080985915492958</v>
      </c>
      <c r="G1425" s="4" t="n">
        <v>0.7065289170046363</v>
      </c>
      <c r="H1425" s="3" t="n">
        <v>7870331.541674981</v>
      </c>
      <c r="I1425" s="3" t="n">
        <v>-315813.8033233946</v>
      </c>
      <c r="J1425" s="4" t="n">
        <v>-0.0401271282729447</v>
      </c>
      <c r="K1425">
        <f>IF(AND(I1425&gt;0,J1425&gt;=Assumptions!$B$4),1,0)</f>
        <v/>
      </c>
      <c r="L1425" s="3">
        <f>I1425*K1425</f>
        <v/>
      </c>
      <c r="M1425">
        <f>SUM($K$2:K1425)</f>
        <v/>
      </c>
    </row>
    <row r="1426">
      <c r="A1426" t="inlineStr">
        <is>
          <t>430016</t>
        </is>
      </c>
      <c r="B1426" t="inlineStr">
        <is>
          <t>Avera Mckennan Hospital &amp; University Health Center</t>
        </is>
      </c>
      <c r="C1426" t="inlineStr">
        <is>
          <t>SD</t>
        </is>
      </c>
      <c r="D1426" t="inlineStr">
        <is>
          <t>Unclassified</t>
        </is>
      </c>
      <c r="E1426" s="5" t="n">
        <v>4272</v>
      </c>
      <c r="F1426" s="4" t="n">
        <v>0.5227059925093633</v>
      </c>
      <c r="G1426" s="4" t="n">
        <v>0.5379940485289394</v>
      </c>
      <c r="H1426" s="3" t="n">
        <v>73508802.82573782</v>
      </c>
      <c r="I1426" s="3" t="n">
        <v>-316119.5512621701</v>
      </c>
      <c r="J1426" s="4" t="n">
        <v>-0.0043004312287818</v>
      </c>
      <c r="K1426">
        <f>IF(AND(I1426&gt;0,J1426&gt;=Assumptions!$B$4),1,0)</f>
        <v/>
      </c>
      <c r="L1426" s="3">
        <f>I1426*K1426</f>
        <v/>
      </c>
      <c r="M1426">
        <f>SUM($K$2:K1426)</f>
        <v/>
      </c>
    </row>
    <row r="1427">
      <c r="A1427" t="inlineStr">
        <is>
          <t>050580</t>
        </is>
      </c>
      <c r="B1427" t="inlineStr">
        <is>
          <t>La Palma Intercommunity Hospital</t>
        </is>
      </c>
      <c r="C1427" t="inlineStr">
        <is>
          <t>CA</t>
        </is>
      </c>
      <c r="D1427" t="inlineStr">
        <is>
          <t>Metropolitan</t>
        </is>
      </c>
      <c r="E1427" s="5" t="n">
        <v>510</v>
      </c>
      <c r="F1427" s="4" t="n">
        <v>0.796078431372549</v>
      </c>
      <c r="G1427" s="4" t="n">
        <v>0.7126419055506144</v>
      </c>
      <c r="H1427" s="3" t="n">
        <v>7420724.104826261</v>
      </c>
      <c r="I1427" s="3" t="n">
        <v>-316508.9428736605</v>
      </c>
      <c r="J1427" s="4" t="n">
        <v>-0.0426520294249735</v>
      </c>
      <c r="K1427">
        <f>IF(AND(I1427&gt;0,J1427&gt;=Assumptions!$B$4),1,0)</f>
        <v/>
      </c>
      <c r="L1427" s="3">
        <f>I1427*K1427</f>
        <v/>
      </c>
      <c r="M1427">
        <f>SUM($K$2:K1427)</f>
        <v/>
      </c>
    </row>
    <row r="1428">
      <c r="A1428" t="inlineStr">
        <is>
          <t>450644</t>
        </is>
      </c>
      <c r="B1428" t="inlineStr">
        <is>
          <t>Hca Houston Healthcare West</t>
        </is>
      </c>
      <c r="C1428" t="inlineStr">
        <is>
          <t>TX</t>
        </is>
      </c>
      <c r="D1428" t="inlineStr">
        <is>
          <t>Metropolitan</t>
        </is>
      </c>
      <c r="E1428" s="5" t="n">
        <v>465</v>
      </c>
      <c r="F1428" s="4" t="n">
        <v>0.8623655913978494</v>
      </c>
      <c r="G1428" s="4" t="n">
        <v>0.7506064324242475</v>
      </c>
      <c r="H1428" s="3" t="n">
        <v>6624480.935106484</v>
      </c>
      <c r="I1428" s="3" t="n">
        <v>-317825.4917517705</v>
      </c>
      <c r="J1428" s="4" t="n">
        <v>-0.0479774181351254</v>
      </c>
      <c r="K1428">
        <f>IF(AND(I1428&gt;0,J1428&gt;=Assumptions!$B$4),1,0)</f>
        <v/>
      </c>
      <c r="L1428" s="3">
        <f>I1428*K1428</f>
        <v/>
      </c>
      <c r="M1428">
        <f>SUM($K$2:K1428)</f>
        <v/>
      </c>
    </row>
    <row r="1429">
      <c r="A1429" t="inlineStr">
        <is>
          <t>310032</t>
        </is>
      </c>
      <c r="B1429" t="inlineStr">
        <is>
          <t>Inspira Medical Center Vineland</t>
        </is>
      </c>
      <c r="C1429" t="inlineStr">
        <is>
          <t>NJ</t>
        </is>
      </c>
      <c r="D1429" t="inlineStr">
        <is>
          <t>Metropolitan</t>
        </is>
      </c>
      <c r="E1429" s="5" t="n">
        <v>2760</v>
      </c>
      <c r="F1429" s="4" t="n">
        <v>0.6557971014492754</v>
      </c>
      <c r="G1429" s="4" t="n">
        <v>0.6281833211327458</v>
      </c>
      <c r="H1429" s="3" t="n">
        <v>38363249.64828511</v>
      </c>
      <c r="I1429" s="3" t="n">
        <v>-318435.6231449768</v>
      </c>
      <c r="J1429" s="4" t="n">
        <v>-0.008300538303308401</v>
      </c>
      <c r="K1429">
        <f>IF(AND(I1429&gt;0,J1429&gt;=Assumptions!$B$4),1,0)</f>
        <v/>
      </c>
      <c r="L1429" s="3">
        <f>I1429*K1429</f>
        <v/>
      </c>
      <c r="M1429">
        <f>SUM($K$2:K1429)</f>
        <v/>
      </c>
    </row>
    <row r="1430">
      <c r="A1430" t="inlineStr">
        <is>
          <t>450211</t>
        </is>
      </c>
      <c r="B1430" t="inlineStr">
        <is>
          <t>Chi St Lukes Health Memorial Lufkin</t>
        </is>
      </c>
      <c r="C1430" t="inlineStr">
        <is>
          <t>TX</t>
        </is>
      </c>
      <c r="D1430" t="inlineStr">
        <is>
          <t>Micropolitan</t>
        </is>
      </c>
      <c r="E1430" s="5" t="n">
        <v>946</v>
      </c>
      <c r="F1430" s="4" t="n">
        <v>0.638477801268499</v>
      </c>
      <c r="G1430" s="4" t="n">
        <v>0.6019965704026393</v>
      </c>
      <c r="H1430" s="3" t="n">
        <v>14426395.51605777</v>
      </c>
      <c r="I1430" s="3" t="n">
        <v>-318570.8070353307</v>
      </c>
      <c r="J1430" s="4" t="n">
        <v>-0.0220824950127518</v>
      </c>
      <c r="K1430">
        <f>IF(AND(I1430&gt;0,J1430&gt;=Assumptions!$B$4),1,0)</f>
        <v/>
      </c>
      <c r="L1430" s="3">
        <f>I1430*K1430</f>
        <v/>
      </c>
      <c r="M1430">
        <f>SUM($K$2:K1430)</f>
        <v/>
      </c>
    </row>
    <row r="1431">
      <c r="A1431" t="inlineStr">
        <is>
          <t>260095</t>
        </is>
      </c>
      <c r="B1431" t="inlineStr">
        <is>
          <t>Centerpoint Medical Center</t>
        </is>
      </c>
      <c r="C1431" t="inlineStr">
        <is>
          <t>MO</t>
        </is>
      </c>
      <c r="D1431" t="inlineStr">
        <is>
          <t>Metropolitan</t>
        </is>
      </c>
      <c r="E1431" s="5" t="n">
        <v>2020</v>
      </c>
      <c r="F1431" s="4" t="n">
        <v>0.5851485148514851</v>
      </c>
      <c r="G1431" s="4" t="n">
        <v>0.5698062597560385</v>
      </c>
      <c r="H1431" s="3" t="n">
        <v>30670362.24347233</v>
      </c>
      <c r="I1431" s="3" t="n">
        <v>-319099.5851863399</v>
      </c>
      <c r="J1431" s="4" t="n">
        <v>-0.010404167471294</v>
      </c>
      <c r="K1431">
        <f>IF(AND(I1431&gt;0,J1431&gt;=Assumptions!$B$4),1,0)</f>
        <v/>
      </c>
      <c r="L1431" s="3">
        <f>I1431*K1431</f>
        <v/>
      </c>
      <c r="M1431">
        <f>SUM($K$2:K1431)</f>
        <v/>
      </c>
    </row>
    <row r="1432">
      <c r="A1432" t="inlineStr">
        <is>
          <t>050457</t>
        </is>
      </c>
      <c r="B1432" t="inlineStr">
        <is>
          <t>St Mary's Medical Center</t>
        </is>
      </c>
      <c r="C1432" t="inlineStr">
        <is>
          <t>CA</t>
        </is>
      </c>
      <c r="D1432" t="inlineStr">
        <is>
          <t>Metropolitan</t>
        </is>
      </c>
      <c r="E1432" s="5" t="n">
        <v>665</v>
      </c>
      <c r="F1432" s="4" t="n">
        <v>0.7609022556390977</v>
      </c>
      <c r="G1432" s="4" t="n">
        <v>0.7038038343900028</v>
      </c>
      <c r="H1432" s="3" t="n">
        <v>10554487.04605338</v>
      </c>
      <c r="I1432" s="3" t="n">
        <v>-321932.6468620598</v>
      </c>
      <c r="J1432" s="4" t="n">
        <v>-0.0305019699638022</v>
      </c>
      <c r="K1432">
        <f>IF(AND(I1432&gt;0,J1432&gt;=Assumptions!$B$4),1,0)</f>
        <v/>
      </c>
      <c r="L1432" s="3">
        <f>I1432*K1432</f>
        <v/>
      </c>
      <c r="M1432">
        <f>SUM($K$2:K1432)</f>
        <v/>
      </c>
    </row>
    <row r="1433">
      <c r="A1433" t="inlineStr">
        <is>
          <t>390100</t>
        </is>
      </c>
      <c r="B1433" t="inlineStr">
        <is>
          <t>Lancaster General Hospital</t>
        </is>
      </c>
      <c r="C1433" t="inlineStr">
        <is>
          <t>PA</t>
        </is>
      </c>
      <c r="D1433" t="inlineStr">
        <is>
          <t>Metropolitan</t>
        </is>
      </c>
      <c r="E1433" s="5" t="n">
        <v>5745</v>
      </c>
      <c r="F1433" s="4" t="n">
        <v>0.5087902523933856</v>
      </c>
      <c r="G1433" s="4" t="n">
        <v>0.5032892037457699</v>
      </c>
      <c r="H1433" s="3" t="n">
        <v>93996742.04998574</v>
      </c>
      <c r="I1433" s="3" t="n">
        <v>-321934.5229551196</v>
      </c>
      <c r="J1433" s="4" t="n">
        <v>-0.0034249540562152</v>
      </c>
      <c r="K1433">
        <f>IF(AND(I1433&gt;0,J1433&gt;=Assumptions!$B$4),1,0)</f>
        <v/>
      </c>
      <c r="L1433" s="3">
        <f>I1433*K1433</f>
        <v/>
      </c>
      <c r="M1433">
        <f>SUM($K$2:K1433)</f>
        <v/>
      </c>
    </row>
    <row r="1434">
      <c r="A1434" t="inlineStr">
        <is>
          <t>450028</t>
        </is>
      </c>
      <c r="B1434" t="inlineStr">
        <is>
          <t>Valley Baptist Medical Center- Brownsville</t>
        </is>
      </c>
      <c r="C1434" t="inlineStr">
        <is>
          <t>TX</t>
        </is>
      </c>
      <c r="D1434" t="inlineStr">
        <is>
          <t>Metropolitan</t>
        </is>
      </c>
      <c r="E1434" s="5" t="n">
        <v>566</v>
      </c>
      <c r="F1434" s="4" t="n">
        <v>0.8180212014134276</v>
      </c>
      <c r="G1434" s="4" t="n">
        <v>0.7422183226695076</v>
      </c>
      <c r="H1434" s="3" t="n">
        <v>8536968.462626174</v>
      </c>
      <c r="I1434" s="3" t="n">
        <v>-323612.8116572574</v>
      </c>
      <c r="J1434" s="4" t="n">
        <v>-0.0379072282009703</v>
      </c>
      <c r="K1434">
        <f>IF(AND(I1434&gt;0,J1434&gt;=Assumptions!$B$4),1,0)</f>
        <v/>
      </c>
      <c r="L1434" s="3">
        <f>I1434*K1434</f>
        <v/>
      </c>
      <c r="M1434">
        <f>SUM($K$2:K1434)</f>
        <v/>
      </c>
    </row>
    <row r="1435">
      <c r="A1435" t="inlineStr">
        <is>
          <t>050129</t>
        </is>
      </c>
      <c r="B1435" t="inlineStr">
        <is>
          <t>St Bernardine Medical Center</t>
        </is>
      </c>
      <c r="C1435" t="inlineStr">
        <is>
          <t>CA</t>
        </is>
      </c>
      <c r="D1435" t="inlineStr">
        <is>
          <t>Metropolitan</t>
        </is>
      </c>
      <c r="E1435" s="5" t="n">
        <v>1025</v>
      </c>
      <c r="F1435" s="4" t="n">
        <v>0.6878048780487804</v>
      </c>
      <c r="G1435" s="4" t="n">
        <v>0.6250553030894689</v>
      </c>
      <c r="H1435" s="3" t="n">
        <v>13820780.00699004</v>
      </c>
      <c r="I1435" s="3" t="n">
        <v>-324038.6564693768</v>
      </c>
      <c r="J1435" s="4" t="n">
        <v>-0.0234457574974415</v>
      </c>
      <c r="K1435">
        <f>IF(AND(I1435&gt;0,J1435&gt;=Assumptions!$B$4),1,0)</f>
        <v/>
      </c>
      <c r="L1435" s="3">
        <f>I1435*K1435</f>
        <v/>
      </c>
      <c r="M1435">
        <f>SUM($K$2:K1435)</f>
        <v/>
      </c>
    </row>
    <row r="1436">
      <c r="A1436" t="inlineStr">
        <is>
          <t>210003</t>
        </is>
      </c>
      <c r="B1436" t="inlineStr">
        <is>
          <t>University Of Md Capital Region Medical Center</t>
        </is>
      </c>
      <c r="C1436" t="inlineStr">
        <is>
          <t>MD</t>
        </is>
      </c>
      <c r="D1436" t="inlineStr">
        <is>
          <t>Metropolitan</t>
        </is>
      </c>
      <c r="E1436" s="5" t="n">
        <v>979</v>
      </c>
      <c r="F1436" s="4" t="n">
        <v>0.6527068437180796</v>
      </c>
      <c r="G1436" s="4" t="n">
        <v>0.6351711421865738</v>
      </c>
      <c r="H1436" s="3" t="n">
        <v>15222407.79783648</v>
      </c>
      <c r="I1436" s="3" t="n">
        <v>-325660.5486831553</v>
      </c>
      <c r="J1436" s="4" t="n">
        <v>-0.021393497862371</v>
      </c>
      <c r="K1436">
        <f>IF(AND(I1436&gt;0,J1436&gt;=Assumptions!$B$4),1,0)</f>
        <v/>
      </c>
      <c r="L1436" s="3">
        <f>I1436*K1436</f>
        <v/>
      </c>
      <c r="M1436">
        <f>SUM($K$2:K1436)</f>
        <v/>
      </c>
    </row>
    <row r="1437">
      <c r="A1437" t="inlineStr">
        <is>
          <t>510062</t>
        </is>
      </c>
      <c r="B1437" t="inlineStr">
        <is>
          <t>Beckley Arh Hospital</t>
        </is>
      </c>
      <c r="C1437" t="inlineStr">
        <is>
          <t>WV</t>
        </is>
      </c>
      <c r="D1437" t="inlineStr">
        <is>
          <t>Metropolitan</t>
        </is>
      </c>
      <c r="E1437" s="5" t="n">
        <v>695</v>
      </c>
      <c r="F1437" s="4" t="n">
        <v>0.7798561151079136</v>
      </c>
      <c r="G1437" s="4" t="n">
        <v>0.6877082566344751</v>
      </c>
      <c r="H1437" s="3" t="n">
        <v>9145747.545976529</v>
      </c>
      <c r="I1437" s="3" t="n">
        <v>-327590.314876169</v>
      </c>
      <c r="J1437" s="4" t="n">
        <v>-0.035818866990297</v>
      </c>
      <c r="K1437">
        <f>IF(AND(I1437&gt;0,J1437&gt;=Assumptions!$B$4),1,0)</f>
        <v/>
      </c>
      <c r="L1437" s="3">
        <f>I1437*K1437</f>
        <v/>
      </c>
      <c r="M1437">
        <f>SUM($K$2:K1437)</f>
        <v/>
      </c>
    </row>
    <row r="1438">
      <c r="A1438" t="inlineStr">
        <is>
          <t>450643</t>
        </is>
      </c>
      <c r="B1438" t="inlineStr">
        <is>
          <t>Doctors Hospital Of Laredo</t>
        </is>
      </c>
      <c r="C1438" t="inlineStr">
        <is>
          <t>TX</t>
        </is>
      </c>
      <c r="D1438" t="inlineStr">
        <is>
          <t>Metropolitan</t>
        </is>
      </c>
      <c r="E1438" s="5" t="n">
        <v>505</v>
      </c>
      <c r="F1438" s="4" t="n">
        <v>0.8217821782178217</v>
      </c>
      <c r="G1438" s="4" t="n">
        <v>0.7339257693350144</v>
      </c>
      <c r="H1438" s="3" t="n">
        <v>7889620.453054115</v>
      </c>
      <c r="I1438" s="3" t="n">
        <v>-328754.7361663561</v>
      </c>
      <c r="J1438" s="4" t="n">
        <v>-0.0416692714335951</v>
      </c>
      <c r="K1438">
        <f>IF(AND(I1438&gt;0,J1438&gt;=Assumptions!$B$4),1,0)</f>
        <v/>
      </c>
      <c r="L1438" s="3">
        <f>I1438*K1438</f>
        <v/>
      </c>
      <c r="M1438">
        <f>SUM($K$2:K1438)</f>
        <v/>
      </c>
    </row>
    <row r="1439">
      <c r="A1439" t="inlineStr">
        <is>
          <t>280081</t>
        </is>
      </c>
      <c r="B1439" t="inlineStr">
        <is>
          <t>Chi Health Immanuel</t>
        </is>
      </c>
      <c r="C1439" t="inlineStr">
        <is>
          <t>NE</t>
        </is>
      </c>
      <c r="D1439" t="inlineStr">
        <is>
          <t>Metropolitan</t>
        </is>
      </c>
      <c r="E1439" s="5" t="n">
        <v>661</v>
      </c>
      <c r="F1439" s="4" t="n">
        <v>0.745839636913767</v>
      </c>
      <c r="G1439" s="4" t="n">
        <v>0.6858585795978296</v>
      </c>
      <c r="H1439" s="3" t="n">
        <v>9930793.889198998</v>
      </c>
      <c r="I1439" s="3" t="n">
        <v>-329996.424615683</v>
      </c>
      <c r="J1439" s="4" t="n">
        <v>-0.0332296116803507</v>
      </c>
      <c r="K1439">
        <f>IF(AND(I1439&gt;0,J1439&gt;=Assumptions!$B$4),1,0)</f>
        <v/>
      </c>
      <c r="L1439" s="3">
        <f>I1439*K1439</f>
        <v/>
      </c>
      <c r="M1439">
        <f>SUM($K$2:K1439)</f>
        <v/>
      </c>
    </row>
    <row r="1440">
      <c r="A1440" t="inlineStr">
        <is>
          <t>330202</t>
        </is>
      </c>
      <c r="B1440" t="inlineStr">
        <is>
          <t>Kings County Hospital Center</t>
        </is>
      </c>
      <c r="C1440" t="inlineStr">
        <is>
          <t>NY</t>
        </is>
      </c>
      <c r="D1440" t="inlineStr">
        <is>
          <t>Metropolitan</t>
        </is>
      </c>
      <c r="E1440" s="5" t="n">
        <v>724</v>
      </c>
      <c r="F1440" s="4" t="n">
        <v>0.7776243093922652</v>
      </c>
      <c r="G1440" s="4" t="n">
        <v>0.6970422078808857</v>
      </c>
      <c r="H1440" s="3" t="n">
        <v>10412681.03774129</v>
      </c>
      <c r="I1440" s="3" t="n">
        <v>-331044.6754025668</v>
      </c>
      <c r="J1440" s="4" t="n">
        <v>-0.0317924532791006</v>
      </c>
      <c r="K1440">
        <f>IF(AND(I1440&gt;0,J1440&gt;=Assumptions!$B$4),1,0)</f>
        <v/>
      </c>
      <c r="L1440" s="3">
        <f>I1440*K1440</f>
        <v/>
      </c>
      <c r="M1440">
        <f>SUM($K$2:K1440)</f>
        <v/>
      </c>
    </row>
    <row r="1441">
      <c r="A1441" t="inlineStr">
        <is>
          <t>340050</t>
        </is>
      </c>
      <c r="B1441" t="inlineStr">
        <is>
          <t>Southeastern Regional Medical Center</t>
        </is>
      </c>
      <c r="C1441" t="inlineStr">
        <is>
          <t>NC</t>
        </is>
      </c>
      <c r="D1441" t="inlineStr">
        <is>
          <t>Micropolitan</t>
        </is>
      </c>
      <c r="E1441" s="5" t="n">
        <v>962</v>
      </c>
      <c r="F1441" s="4" t="n">
        <v>0.6704781704781705</v>
      </c>
      <c r="G1441" s="4" t="n">
        <v>0.6231560347916344</v>
      </c>
      <c r="H1441" s="3" t="n">
        <v>11530749.551835</v>
      </c>
      <c r="I1441" s="3" t="n">
        <v>-331976.2710125037</v>
      </c>
      <c r="J1441" s="4" t="n">
        <v>-0.0287905196032701</v>
      </c>
      <c r="K1441">
        <f>IF(AND(I1441&gt;0,J1441&gt;=Assumptions!$B$4),1,0)</f>
        <v/>
      </c>
      <c r="L1441" s="3">
        <f>I1441*K1441</f>
        <v/>
      </c>
      <c r="M1441">
        <f>SUM($K$2:K1441)</f>
        <v/>
      </c>
    </row>
    <row r="1442">
      <c r="A1442" t="inlineStr">
        <is>
          <t>460051</t>
        </is>
      </c>
      <c r="B1442" t="inlineStr">
        <is>
          <t>Holy Cross Hospital-Jordan Valley</t>
        </is>
      </c>
      <c r="C1442" t="inlineStr">
        <is>
          <t>UT</t>
        </is>
      </c>
      <c r="D1442" t="inlineStr">
        <is>
          <t>Metropolitan</t>
        </is>
      </c>
      <c r="E1442" s="5" t="n">
        <v>506</v>
      </c>
      <c r="F1442" s="4" t="n">
        <v>0.83399209486166</v>
      </c>
      <c r="G1442" s="4" t="n">
        <v>0.7205679709508973</v>
      </c>
      <c r="H1442" s="3" t="n">
        <v>7172386.820762282</v>
      </c>
      <c r="I1442" s="3" t="n">
        <v>-334734.3889516303</v>
      </c>
      <c r="J1442" s="4" t="n">
        <v>-0.0466698739647807</v>
      </c>
      <c r="K1442">
        <f>IF(AND(I1442&gt;0,J1442&gt;=Assumptions!$B$4),1,0)</f>
        <v/>
      </c>
      <c r="L1442" s="3">
        <f>I1442*K1442</f>
        <v/>
      </c>
      <c r="M1442">
        <f>SUM($K$2:K1442)</f>
        <v/>
      </c>
    </row>
    <row r="1443">
      <c r="A1443" t="inlineStr">
        <is>
          <t>440011</t>
        </is>
      </c>
      <c r="B1443" t="inlineStr">
        <is>
          <t>Blount Memorial Hospital</t>
        </is>
      </c>
      <c r="C1443" t="inlineStr">
        <is>
          <t>TN</t>
        </is>
      </c>
      <c r="D1443" t="inlineStr">
        <is>
          <t>Metropolitan</t>
        </is>
      </c>
      <c r="E1443" s="5" t="n">
        <v>1058</v>
      </c>
      <c r="F1443" s="4" t="n">
        <v>0.6606805293005671</v>
      </c>
      <c r="G1443" s="4" t="n">
        <v>0.6049207268337984</v>
      </c>
      <c r="H1443" s="3" t="n">
        <v>14317384.81162709</v>
      </c>
      <c r="I1443" s="3" t="n">
        <v>-336130.6505264528</v>
      </c>
      <c r="J1443" s="4" t="n">
        <v>-0.0234770982933616</v>
      </c>
      <c r="K1443">
        <f>IF(AND(I1443&gt;0,J1443&gt;=Assumptions!$B$4),1,0)</f>
        <v/>
      </c>
      <c r="L1443" s="3">
        <f>I1443*K1443</f>
        <v/>
      </c>
      <c r="M1443">
        <f>SUM($K$2:K1443)</f>
        <v/>
      </c>
    </row>
    <row r="1444">
      <c r="A1444" t="inlineStr">
        <is>
          <t>010089</t>
        </is>
      </c>
      <c r="B1444" t="inlineStr">
        <is>
          <t>Walker Baptist Medical Center</t>
        </is>
      </c>
      <c r="C1444" t="inlineStr">
        <is>
          <t>AL</t>
        </is>
      </c>
      <c r="D1444" t="inlineStr">
        <is>
          <t>Metropolitan</t>
        </is>
      </c>
      <c r="E1444" s="5" t="n">
        <v>404</v>
      </c>
      <c r="F1444" s="4" t="n">
        <v>0.6782178217821783</v>
      </c>
      <c r="G1444" s="4" t="n">
        <v>0.6174405862315623</v>
      </c>
      <c r="H1444" s="3" t="n">
        <v>6898943.032813032</v>
      </c>
      <c r="I1444" s="3" t="n">
        <v>-336448.8117020344</v>
      </c>
      <c r="J1444" s="4" t="n">
        <v>-0.0487681678340874</v>
      </c>
      <c r="K1444">
        <f>IF(AND(I1444&gt;0,J1444&gt;=Assumptions!$B$4),1,0)</f>
        <v/>
      </c>
      <c r="L1444" s="3">
        <f>I1444*K1444</f>
        <v/>
      </c>
      <c r="M1444">
        <f>SUM($K$2:K1444)</f>
        <v/>
      </c>
    </row>
    <row r="1445">
      <c r="A1445" t="inlineStr">
        <is>
          <t>330234</t>
        </is>
      </c>
      <c r="B1445" t="inlineStr">
        <is>
          <t>Westchester Medical Center</t>
        </is>
      </c>
      <c r="C1445" t="inlineStr">
        <is>
          <t>NY</t>
        </is>
      </c>
      <c r="D1445" t="inlineStr">
        <is>
          <t>Metropolitan</t>
        </is>
      </c>
      <c r="E1445" s="5" t="n">
        <v>3398</v>
      </c>
      <c r="F1445" s="4" t="n">
        <v>0.51854031783402</v>
      </c>
      <c r="G1445" s="4" t="n">
        <v>0.5157230480175343</v>
      </c>
      <c r="H1445" s="3" t="n">
        <v>62254901.3870253</v>
      </c>
      <c r="I1445" s="3" t="n">
        <v>-337303.2468721718</v>
      </c>
      <c r="J1445" s="4" t="n">
        <v>-0.0054180994485113</v>
      </c>
      <c r="K1445">
        <f>IF(AND(I1445&gt;0,J1445&gt;=Assumptions!$B$4),1,0)</f>
        <v/>
      </c>
      <c r="L1445" s="3">
        <f>I1445*K1445</f>
        <v/>
      </c>
      <c r="M1445">
        <f>SUM($K$2:K1445)</f>
        <v/>
      </c>
    </row>
    <row r="1446">
      <c r="A1446" t="inlineStr">
        <is>
          <t>290053</t>
        </is>
      </c>
      <c r="B1446" t="inlineStr">
        <is>
          <t>Saint Rose Dominican Hospitals - San Martin Campus</t>
        </is>
      </c>
      <c r="C1446" t="inlineStr">
        <is>
          <t>NV</t>
        </is>
      </c>
      <c r="D1446" t="inlineStr">
        <is>
          <t>Metropolitan</t>
        </is>
      </c>
      <c r="E1446" s="5" t="n">
        <v>843</v>
      </c>
      <c r="F1446" s="4" t="n">
        <v>0.6061684460260973</v>
      </c>
      <c r="G1446" s="4" t="n">
        <v>0.5940549163889531</v>
      </c>
      <c r="H1446" s="3" t="n">
        <v>13202580.73138729</v>
      </c>
      <c r="I1446" s="3" t="n">
        <v>-337959.2476663236</v>
      </c>
      <c r="J1446" s="4" t="n">
        <v>-0.0255979686503921</v>
      </c>
      <c r="K1446">
        <f>IF(AND(I1446&gt;0,J1446&gt;=Assumptions!$B$4),1,0)</f>
        <v/>
      </c>
      <c r="L1446" s="3">
        <f>I1446*K1446</f>
        <v/>
      </c>
      <c r="M1446">
        <f>SUM($K$2:K1446)</f>
        <v/>
      </c>
    </row>
    <row r="1447">
      <c r="A1447" t="inlineStr">
        <is>
          <t>110030</t>
        </is>
      </c>
      <c r="B1447" t="inlineStr">
        <is>
          <t>Piedmont Cartersville Medical Center</t>
        </is>
      </c>
      <c r="C1447" t="inlineStr">
        <is>
          <t>GA</t>
        </is>
      </c>
      <c r="D1447" t="inlineStr">
        <is>
          <t>Metropolitan</t>
        </is>
      </c>
      <c r="E1447" s="5" t="n">
        <v>916</v>
      </c>
      <c r="F1447" s="4" t="n">
        <v>0.7205240174672489</v>
      </c>
      <c r="G1447" s="4" t="n">
        <v>0.6701301004851449</v>
      </c>
      <c r="H1447" s="3" t="n">
        <v>12131456.13360224</v>
      </c>
      <c r="I1447" s="3" t="n">
        <v>-338048.9679860324</v>
      </c>
      <c r="J1447" s="4" t="n">
        <v>-0.027865489868911</v>
      </c>
      <c r="K1447">
        <f>IF(AND(I1447&gt;0,J1447&gt;=Assumptions!$B$4),1,0)</f>
        <v/>
      </c>
      <c r="L1447" s="3">
        <f>I1447*K1447</f>
        <v/>
      </c>
      <c r="M1447">
        <f>SUM($K$2:K1447)</f>
        <v/>
      </c>
    </row>
    <row r="1448">
      <c r="A1448" t="inlineStr">
        <is>
          <t>330231</t>
        </is>
      </c>
      <c r="B1448" t="inlineStr">
        <is>
          <t>Queens Hospital Center</t>
        </is>
      </c>
      <c r="C1448" t="inlineStr">
        <is>
          <t>NY</t>
        </is>
      </c>
      <c r="D1448" t="inlineStr">
        <is>
          <t>Metropolitan</t>
        </is>
      </c>
      <c r="E1448" s="5" t="n">
        <v>586</v>
      </c>
      <c r="F1448" s="4" t="n">
        <v>0.7815699658703071</v>
      </c>
      <c r="G1448" s="4" t="n">
        <v>0.6851162404158527</v>
      </c>
      <c r="H1448" s="3" t="n">
        <v>7716982.662632355</v>
      </c>
      <c r="I1448" s="3" t="n">
        <v>-338559.7373479372</v>
      </c>
      <c r="J1448" s="4" t="n">
        <v>-0.0438720355025976</v>
      </c>
      <c r="K1448">
        <f>IF(AND(I1448&gt;0,J1448&gt;=Assumptions!$B$4),1,0)</f>
        <v/>
      </c>
      <c r="L1448" s="3">
        <f>I1448*K1448</f>
        <v/>
      </c>
      <c r="M1448">
        <f>SUM($K$2:K1448)</f>
        <v/>
      </c>
    </row>
    <row r="1449">
      <c r="A1449" t="inlineStr">
        <is>
          <t>100045</t>
        </is>
      </c>
      <c r="B1449" t="inlineStr">
        <is>
          <t>Adventhealth Deland</t>
        </is>
      </c>
      <c r="C1449" t="inlineStr">
        <is>
          <t>FL</t>
        </is>
      </c>
      <c r="D1449" t="inlineStr">
        <is>
          <t>Metropolitan</t>
        </is>
      </c>
      <c r="E1449" s="5" t="n">
        <v>1317</v>
      </c>
      <c r="F1449" s="4" t="n">
        <v>0.6173120728929385</v>
      </c>
      <c r="G1449" s="4" t="n">
        <v>0.595970972417874</v>
      </c>
      <c r="H1449" s="3" t="n">
        <v>18104285.25264125</v>
      </c>
      <c r="I1449" s="3" t="n">
        <v>-339000.735418085</v>
      </c>
      <c r="J1449" s="4" t="n">
        <v>-0.0187248892009491</v>
      </c>
      <c r="K1449">
        <f>IF(AND(I1449&gt;0,J1449&gt;=Assumptions!$B$4),1,0)</f>
        <v/>
      </c>
      <c r="L1449" s="3">
        <f>I1449*K1449</f>
        <v/>
      </c>
      <c r="M1449">
        <f>SUM($K$2:K1449)</f>
        <v/>
      </c>
    </row>
    <row r="1450">
      <c r="A1450" t="inlineStr">
        <is>
          <t>460010</t>
        </is>
      </c>
      <c r="B1450" t="inlineStr">
        <is>
          <t>Intermountain Medical Center</t>
        </is>
      </c>
      <c r="C1450" t="inlineStr">
        <is>
          <t>UT</t>
        </is>
      </c>
      <c r="D1450" t="inlineStr">
        <is>
          <t>Metropolitan</t>
        </is>
      </c>
      <c r="E1450" s="5" t="n">
        <v>3165</v>
      </c>
      <c r="F1450" s="4" t="n">
        <v>0.5731437598736177</v>
      </c>
      <c r="G1450" s="4" t="n">
        <v>0.5591240118761792</v>
      </c>
      <c r="H1450" s="3" t="n">
        <v>62973333.25142149</v>
      </c>
      <c r="I1450" s="3" t="n">
        <v>-339693.8885815665</v>
      </c>
      <c r="J1450" s="4" t="n">
        <v>-0.0053942497727623</v>
      </c>
      <c r="K1450">
        <f>IF(AND(I1450&gt;0,J1450&gt;=Assumptions!$B$4),1,0)</f>
        <v/>
      </c>
      <c r="L1450" s="3">
        <f>I1450*K1450</f>
        <v/>
      </c>
      <c r="M1450">
        <f>SUM($K$2:K1450)</f>
        <v/>
      </c>
    </row>
    <row r="1451">
      <c r="A1451" t="inlineStr">
        <is>
          <t>350002</t>
        </is>
      </c>
      <c r="B1451" t="inlineStr">
        <is>
          <t>Chi St Alexius Health</t>
        </is>
      </c>
      <c r="C1451" t="inlineStr">
        <is>
          <t>ND</t>
        </is>
      </c>
      <c r="D1451" t="inlineStr">
        <is>
          <t>Metropolitan</t>
        </is>
      </c>
      <c r="E1451" s="5" t="n">
        <v>1201</v>
      </c>
      <c r="F1451" s="4" t="n">
        <v>0.6486261448792673</v>
      </c>
      <c r="G1451" s="4" t="n">
        <v>0.6386440208493226</v>
      </c>
      <c r="H1451" s="3" t="n">
        <v>19572715.23630172</v>
      </c>
      <c r="I1451" s="3" t="n">
        <v>-341947.8690315783</v>
      </c>
      <c r="J1451" s="4" t="n">
        <v>-0.017470640373767</v>
      </c>
      <c r="K1451">
        <f>IF(AND(I1451&gt;0,J1451&gt;=Assumptions!$B$4),1,0)</f>
        <v/>
      </c>
      <c r="L1451" s="3">
        <f>I1451*K1451</f>
        <v/>
      </c>
      <c r="M1451">
        <f>SUM($K$2:K1451)</f>
        <v/>
      </c>
    </row>
    <row r="1452">
      <c r="A1452" t="inlineStr">
        <is>
          <t>450176</t>
        </is>
      </c>
      <c r="B1452" t="inlineStr">
        <is>
          <t>Mission Regional Medical Center</t>
        </is>
      </c>
      <c r="C1452" t="inlineStr">
        <is>
          <t>TX</t>
        </is>
      </c>
      <c r="D1452" t="inlineStr">
        <is>
          <t>Metropolitan</t>
        </is>
      </c>
      <c r="E1452" s="5" t="n">
        <v>673</v>
      </c>
      <c r="F1452" s="4" t="n">
        <v>0.7830609212481426</v>
      </c>
      <c r="G1452" s="4" t="n">
        <v>0.6913182237854878</v>
      </c>
      <c r="H1452" s="3" t="n">
        <v>9773950.41166319</v>
      </c>
      <c r="I1452" s="3" t="n">
        <v>-343587.7702719681</v>
      </c>
      <c r="J1452" s="4" t="n">
        <v>-0.0351534186076867</v>
      </c>
      <c r="K1452">
        <f>IF(AND(I1452&gt;0,J1452&gt;=Assumptions!$B$4),1,0)</f>
        <v/>
      </c>
      <c r="L1452" s="3">
        <f>I1452*K1452</f>
        <v/>
      </c>
      <c r="M1452">
        <f>SUM($K$2:K1452)</f>
        <v/>
      </c>
    </row>
    <row r="1453">
      <c r="A1453" t="inlineStr">
        <is>
          <t>330193</t>
        </is>
      </c>
      <c r="B1453" t="inlineStr">
        <is>
          <t>Flushing Hospital Medical Center</t>
        </is>
      </c>
      <c r="C1453" t="inlineStr">
        <is>
          <t>NY</t>
        </is>
      </c>
      <c r="D1453" t="inlineStr">
        <is>
          <t>Metropolitan</t>
        </is>
      </c>
      <c r="E1453" s="5" t="n">
        <v>1022</v>
      </c>
      <c r="F1453" s="4" t="n">
        <v>0.7064579256360078</v>
      </c>
      <c r="G1453" s="4" t="n">
        <v>0.667385579668858</v>
      </c>
      <c r="H1453" s="3" t="n">
        <v>14985586.63715384</v>
      </c>
      <c r="I1453" s="3" t="n">
        <v>-345674.1514285691</v>
      </c>
      <c r="J1453" s="4" t="n">
        <v>-0.0230671084021186</v>
      </c>
      <c r="K1453">
        <f>IF(AND(I1453&gt;0,J1453&gt;=Assumptions!$B$4),1,0)</f>
        <v/>
      </c>
      <c r="L1453" s="3">
        <f>I1453*K1453</f>
        <v/>
      </c>
      <c r="M1453">
        <f>SUM($K$2:K1453)</f>
        <v/>
      </c>
    </row>
    <row r="1454">
      <c r="A1454" t="inlineStr">
        <is>
          <t>360096</t>
        </is>
      </c>
      <c r="B1454" t="inlineStr">
        <is>
          <t>East Liverpool City Hospital</t>
        </is>
      </c>
      <c r="C1454" t="inlineStr">
        <is>
          <t>OH</t>
        </is>
      </c>
      <c r="D1454" t="inlineStr">
        <is>
          <t>Micropolitan</t>
        </is>
      </c>
      <c r="E1454" s="5" t="n">
        <v>436</v>
      </c>
      <c r="F1454" s="4" t="n">
        <v>0.9128440366972476</v>
      </c>
      <c r="G1454" s="4" t="n">
        <v>0.7640310877159399</v>
      </c>
      <c r="H1454" s="3" t="n">
        <v>5997490.991829125</v>
      </c>
      <c r="I1454" s="3" t="n">
        <v>-345733.873158887</v>
      </c>
      <c r="J1454" s="4" t="n">
        <v>-0.0576464180821461</v>
      </c>
      <c r="K1454">
        <f>IF(AND(I1454&gt;0,J1454&gt;=Assumptions!$B$4),1,0)</f>
        <v/>
      </c>
      <c r="L1454" s="3">
        <f>I1454*K1454</f>
        <v/>
      </c>
      <c r="M1454">
        <f>SUM($K$2:K1454)</f>
        <v/>
      </c>
    </row>
    <row r="1455">
      <c r="A1455" t="inlineStr">
        <is>
          <t>290041</t>
        </is>
      </c>
      <c r="B1455" t="inlineStr">
        <is>
          <t>Summerlin Hospital Medical Center</t>
        </is>
      </c>
      <c r="C1455" t="inlineStr">
        <is>
          <t>NV</t>
        </is>
      </c>
      <c r="D1455" t="inlineStr">
        <is>
          <t>Metropolitan</t>
        </is>
      </c>
      <c r="E1455" s="5" t="n">
        <v>2038</v>
      </c>
      <c r="F1455" s="4" t="n">
        <v>0.5819430814524044</v>
      </c>
      <c r="G1455" s="4" t="n">
        <v>0.5906693510180777</v>
      </c>
      <c r="H1455" s="3" t="n">
        <v>28533289.35852149</v>
      </c>
      <c r="I1455" s="3" t="n">
        <v>-346094.9996880181</v>
      </c>
      <c r="J1455" s="4" t="n">
        <v>-0.0121295163463043</v>
      </c>
      <c r="K1455">
        <f>IF(AND(I1455&gt;0,J1455&gt;=Assumptions!$B$4),1,0)</f>
        <v/>
      </c>
      <c r="L1455" s="3">
        <f>I1455*K1455</f>
        <v/>
      </c>
      <c r="M1455">
        <f>SUM($K$2:K1455)</f>
        <v/>
      </c>
    </row>
    <row r="1456">
      <c r="A1456" t="inlineStr">
        <is>
          <t>450656</t>
        </is>
      </c>
      <c r="B1456" t="inlineStr">
        <is>
          <t>Nacogdoches Medical Center</t>
        </is>
      </c>
      <c r="C1456" t="inlineStr">
        <is>
          <t>TX</t>
        </is>
      </c>
      <c r="D1456" t="inlineStr">
        <is>
          <t>Micropolitan</t>
        </is>
      </c>
      <c r="E1456" s="5" t="n">
        <v>655</v>
      </c>
      <c r="F1456" s="4" t="n">
        <v>0.7725190839694657</v>
      </c>
      <c r="G1456" s="4" t="n">
        <v>0.7036024714358612</v>
      </c>
      <c r="H1456" s="3" t="n">
        <v>9625921.875657206</v>
      </c>
      <c r="I1456" s="3" t="n">
        <v>-347451.8261139076</v>
      </c>
      <c r="J1456" s="4" t="n">
        <v>-0.036095433829831</v>
      </c>
      <c r="K1456">
        <f>IF(AND(I1456&gt;0,J1456&gt;=Assumptions!$B$4),1,0)</f>
        <v/>
      </c>
      <c r="L1456" s="3">
        <f>I1456*K1456</f>
        <v/>
      </c>
      <c r="M1456">
        <f>SUM($K$2:K1456)</f>
        <v/>
      </c>
    </row>
    <row r="1457">
      <c r="A1457" t="inlineStr">
        <is>
          <t>360360</t>
        </is>
      </c>
      <c r="B1457" t="inlineStr">
        <is>
          <t>Soin Medical Center</t>
        </is>
      </c>
      <c r="C1457" t="inlineStr">
        <is>
          <t>OH</t>
        </is>
      </c>
      <c r="D1457" t="inlineStr">
        <is>
          <t>Metropolitan</t>
        </is>
      </c>
      <c r="E1457" s="5" t="n">
        <v>1435</v>
      </c>
      <c r="F1457" s="4" t="n">
        <v>0.6501742160278746</v>
      </c>
      <c r="G1457" s="4" t="n">
        <v>0.6215762771367813</v>
      </c>
      <c r="H1457" s="3" t="n">
        <v>18805929.07667201</v>
      </c>
      <c r="I1457" s="3" t="n">
        <v>-351278.2617611513</v>
      </c>
      <c r="J1457" s="4" t="n">
        <v>-0.0186791229685587</v>
      </c>
      <c r="K1457">
        <f>IF(AND(I1457&gt;0,J1457&gt;=Assumptions!$B$4),1,0)</f>
        <v/>
      </c>
      <c r="L1457" s="3">
        <f>I1457*K1457</f>
        <v/>
      </c>
      <c r="M1457">
        <f>SUM($K$2:K1457)</f>
        <v/>
      </c>
    </row>
    <row r="1458">
      <c r="A1458" t="inlineStr">
        <is>
          <t>030011</t>
        </is>
      </c>
      <c r="B1458" t="inlineStr">
        <is>
          <t>St Joseph's Hospital</t>
        </is>
      </c>
      <c r="C1458" t="inlineStr">
        <is>
          <t>AZ</t>
        </is>
      </c>
      <c r="D1458" t="inlineStr">
        <is>
          <t>Metropolitan</t>
        </is>
      </c>
      <c r="E1458" s="5" t="n">
        <v>991</v>
      </c>
      <c r="F1458" s="4" t="n">
        <v>0.5660948536831484</v>
      </c>
      <c r="G1458" s="4" t="n">
        <v>0.5324689325322692</v>
      </c>
      <c r="H1458" s="3" t="n">
        <v>18285237.67282422</v>
      </c>
      <c r="I1458" s="3" t="n">
        <v>-352250.3267386891</v>
      </c>
      <c r="J1458" s="4" t="n">
        <v>-0.0192641918602025</v>
      </c>
      <c r="K1458">
        <f>IF(AND(I1458&gt;0,J1458&gt;=Assumptions!$B$4),1,0)</f>
        <v/>
      </c>
      <c r="L1458" s="3">
        <f>I1458*K1458</f>
        <v/>
      </c>
      <c r="M1458">
        <f>SUM($K$2:K1458)</f>
        <v/>
      </c>
    </row>
    <row r="1459">
      <c r="A1459" t="inlineStr">
        <is>
          <t>060013</t>
        </is>
      </c>
      <c r="B1459" t="inlineStr">
        <is>
          <t>Mercy Hospital</t>
        </is>
      </c>
      <c r="C1459" t="inlineStr">
        <is>
          <t>CO</t>
        </is>
      </c>
      <c r="D1459" t="inlineStr">
        <is>
          <t>Micropolitan</t>
        </is>
      </c>
      <c r="E1459" s="5" t="n">
        <v>597</v>
      </c>
      <c r="F1459" s="4" t="n">
        <v>0.6113902847571189</v>
      </c>
      <c r="G1459" s="4" t="n">
        <v>0.5871689123759316</v>
      </c>
      <c r="H1459" s="3" t="n">
        <v>10610561.09858797</v>
      </c>
      <c r="I1459" s="3" t="n">
        <v>-352377.4498079121</v>
      </c>
      <c r="J1459" s="4" t="n">
        <v>-0.0332100674539073</v>
      </c>
      <c r="K1459">
        <f>IF(AND(I1459&gt;0,J1459&gt;=Assumptions!$B$4),1,0)</f>
        <v/>
      </c>
      <c r="L1459" s="3">
        <f>I1459*K1459</f>
        <v/>
      </c>
      <c r="M1459">
        <f>SUM($K$2:K1459)</f>
        <v/>
      </c>
    </row>
    <row r="1460">
      <c r="A1460" t="inlineStr">
        <is>
          <t>670034</t>
        </is>
      </c>
      <c r="B1460" t="inlineStr">
        <is>
          <t>Scott &amp; White Hospital-Round Rock</t>
        </is>
      </c>
      <c r="C1460" t="inlineStr">
        <is>
          <t>TX</t>
        </is>
      </c>
      <c r="D1460" t="inlineStr">
        <is>
          <t>Metropolitan</t>
        </is>
      </c>
      <c r="E1460" s="5" t="n">
        <v>2205</v>
      </c>
      <c r="F1460" s="4" t="n">
        <v>0.5319727891156463</v>
      </c>
      <c r="G1460" s="4" t="n">
        <v>0.5092684292239663</v>
      </c>
      <c r="H1460" s="3" t="n">
        <v>41979590.80025458</v>
      </c>
      <c r="I1460" s="3" t="n">
        <v>-354364.9566373005</v>
      </c>
      <c r="J1460" s="4" t="n">
        <v>-0.0084413628118345</v>
      </c>
      <c r="K1460">
        <f>IF(AND(I1460&gt;0,J1460&gt;=Assumptions!$B$4),1,0)</f>
        <v/>
      </c>
      <c r="L1460" s="3">
        <f>I1460*K1460</f>
        <v/>
      </c>
      <c r="M1460">
        <f>SUM($K$2:K1460)</f>
        <v/>
      </c>
    </row>
    <row r="1461">
      <c r="A1461" t="inlineStr">
        <is>
          <t>390127</t>
        </is>
      </c>
      <c r="B1461" t="inlineStr">
        <is>
          <t>Phoenixville Hospital</t>
        </is>
      </c>
      <c r="C1461" t="inlineStr">
        <is>
          <t>PA</t>
        </is>
      </c>
      <c r="D1461" t="inlineStr">
        <is>
          <t>Metropolitan</t>
        </is>
      </c>
      <c r="E1461" s="5" t="n">
        <v>1114</v>
      </c>
      <c r="F1461" s="4" t="n">
        <v>0.6346499102333932</v>
      </c>
      <c r="G1461" s="4" t="n">
        <v>0.6269532137969606</v>
      </c>
      <c r="H1461" s="3" t="n">
        <v>15435448.83693037</v>
      </c>
      <c r="I1461" s="3" t="n">
        <v>-355435.6951495223</v>
      </c>
      <c r="J1461" s="4" t="n">
        <v>-0.0230272341870045</v>
      </c>
      <c r="K1461">
        <f>IF(AND(I1461&gt;0,J1461&gt;=Assumptions!$B$4),1,0)</f>
        <v/>
      </c>
      <c r="L1461" s="3">
        <f>I1461*K1461</f>
        <v/>
      </c>
      <c r="M1461">
        <f>SUM($K$2:K1461)</f>
        <v/>
      </c>
    </row>
    <row r="1462">
      <c r="A1462" t="inlineStr">
        <is>
          <t>240036</t>
        </is>
      </c>
      <c r="B1462" t="inlineStr">
        <is>
          <t>St Cloud Hospital</t>
        </is>
      </c>
      <c r="C1462" t="inlineStr">
        <is>
          <t>MN</t>
        </is>
      </c>
      <c r="D1462" t="inlineStr">
        <is>
          <t>Metropolitan</t>
        </is>
      </c>
      <c r="E1462" s="5" t="n">
        <v>4208</v>
      </c>
      <c r="F1462" s="4" t="n">
        <v>0.528754752851711</v>
      </c>
      <c r="G1462" s="4" t="n">
        <v>0.5108499167094469</v>
      </c>
      <c r="H1462" s="3" t="n">
        <v>85446939.58693431</v>
      </c>
      <c r="I1462" s="3" t="n">
        <v>-356032.3311598748</v>
      </c>
      <c r="J1462" s="4" t="n">
        <v>-0.0041667066472011</v>
      </c>
      <c r="K1462">
        <f>IF(AND(I1462&gt;0,J1462&gt;=Assumptions!$B$4),1,0)</f>
        <v/>
      </c>
      <c r="L1462" s="3">
        <f>I1462*K1462</f>
        <v/>
      </c>
      <c r="M1462">
        <f>SUM($K$2:K1462)</f>
        <v/>
      </c>
    </row>
    <row r="1463">
      <c r="A1463" t="inlineStr">
        <is>
          <t>440009</t>
        </is>
      </c>
      <c r="B1463" t="inlineStr">
        <is>
          <t>Cumberland Medical Center</t>
        </is>
      </c>
      <c r="C1463" t="inlineStr">
        <is>
          <t>TN</t>
        </is>
      </c>
      <c r="D1463" t="inlineStr">
        <is>
          <t>Micropolitan</t>
        </is>
      </c>
      <c r="E1463" s="5" t="n">
        <v>790</v>
      </c>
      <c r="F1463" s="4" t="n">
        <v>0.7518987341772152</v>
      </c>
      <c r="G1463" s="4" t="n">
        <v>0.6865558914610626</v>
      </c>
      <c r="H1463" s="3" t="n">
        <v>10351055.53620935</v>
      </c>
      <c r="I1463" s="3" t="n">
        <v>-358559.645736346</v>
      </c>
      <c r="J1463" s="4" t="n">
        <v>-0.0346399113097265</v>
      </c>
      <c r="K1463">
        <f>IF(AND(I1463&gt;0,J1463&gt;=Assumptions!$B$4),1,0)</f>
        <v/>
      </c>
      <c r="L1463" s="3">
        <f>I1463*K1463</f>
        <v/>
      </c>
      <c r="M1463">
        <f>SUM($K$2:K1463)</f>
        <v/>
      </c>
    </row>
    <row r="1464">
      <c r="A1464" t="inlineStr">
        <is>
          <t>330028</t>
        </is>
      </c>
      <c r="B1464" t="inlineStr">
        <is>
          <t>Richmond University Medical Center</t>
        </is>
      </c>
      <c r="C1464" t="inlineStr">
        <is>
          <t>NY</t>
        </is>
      </c>
      <c r="D1464" t="inlineStr">
        <is>
          <t>Metropolitan</t>
        </is>
      </c>
      <c r="E1464" s="5" t="n">
        <v>927</v>
      </c>
      <c r="F1464" s="4" t="n">
        <v>0.6828478964401294</v>
      </c>
      <c r="G1464" s="4" t="n">
        <v>0.6257002659049991</v>
      </c>
      <c r="H1464" s="3" t="n">
        <v>12194092.83234703</v>
      </c>
      <c r="I1464" s="3" t="n">
        <v>-360373.9679792728</v>
      </c>
      <c r="J1464" s="4" t="n">
        <v>-0.0295531592988463</v>
      </c>
      <c r="K1464">
        <f>IF(AND(I1464&gt;0,J1464&gt;=Assumptions!$B$4),1,0)</f>
        <v/>
      </c>
      <c r="L1464" s="3">
        <f>I1464*K1464</f>
        <v/>
      </c>
      <c r="M1464">
        <f>SUM($K$2:K1464)</f>
        <v/>
      </c>
    </row>
    <row r="1465">
      <c r="A1465" t="inlineStr">
        <is>
          <t>390204</t>
        </is>
      </c>
      <c r="B1465" t="inlineStr">
        <is>
          <t>Nazareth Hospital</t>
        </is>
      </c>
      <c r="C1465" t="inlineStr">
        <is>
          <t>PA</t>
        </is>
      </c>
      <c r="D1465" t="inlineStr">
        <is>
          <t>Metropolitan</t>
        </is>
      </c>
      <c r="E1465" s="5" t="n">
        <v>932</v>
      </c>
      <c r="F1465" s="4" t="n">
        <v>0.7446351931330472</v>
      </c>
      <c r="G1465" s="4" t="n">
        <v>0.6894686325589408</v>
      </c>
      <c r="H1465" s="3" t="n">
        <v>12550298.30176351</v>
      </c>
      <c r="I1465" s="3" t="n">
        <v>-362270.6675137207</v>
      </c>
      <c r="J1465" s="4" t="n">
        <v>-0.0288655025405106</v>
      </c>
      <c r="K1465">
        <f>IF(AND(I1465&gt;0,J1465&gt;=Assumptions!$B$4),1,0)</f>
        <v/>
      </c>
      <c r="L1465" s="3">
        <f>I1465*K1465</f>
        <v/>
      </c>
      <c r="M1465">
        <f>SUM($K$2:K1465)</f>
        <v/>
      </c>
    </row>
    <row r="1466">
      <c r="A1466" t="inlineStr">
        <is>
          <t>140029</t>
        </is>
      </c>
      <c r="B1466" t="inlineStr">
        <is>
          <t>Rush Copley Medical Center</t>
        </is>
      </c>
      <c r="C1466" t="inlineStr">
        <is>
          <t>IL</t>
        </is>
      </c>
      <c r="D1466" t="inlineStr">
        <is>
          <t>Metropolitan</t>
        </is>
      </c>
      <c r="E1466" s="5" t="n">
        <v>1914</v>
      </c>
      <c r="F1466" s="4" t="n">
        <v>0.6598746081504702</v>
      </c>
      <c r="G1466" s="4" t="n">
        <v>0.6219084838397734</v>
      </c>
      <c r="H1466" s="3" t="n">
        <v>25945651.42295689</v>
      </c>
      <c r="I1466" s="3" t="n">
        <v>-362993.481704656</v>
      </c>
      <c r="J1466" s="4" t="n">
        <v>-0.0139905325862613</v>
      </c>
      <c r="K1466">
        <f>IF(AND(I1466&gt;0,J1466&gt;=Assumptions!$B$4),1,0)</f>
        <v/>
      </c>
      <c r="L1466" s="3">
        <f>I1466*K1466</f>
        <v/>
      </c>
      <c r="M1466">
        <f>SUM($K$2:K1466)</f>
        <v/>
      </c>
    </row>
    <row r="1467">
      <c r="A1467" t="inlineStr">
        <is>
          <t>450372</t>
        </is>
      </c>
      <c r="B1467" t="inlineStr">
        <is>
          <t>Baylor Scott &amp; White Medical Center- Waxahachie</t>
        </is>
      </c>
      <c r="C1467" t="inlineStr">
        <is>
          <t>TX</t>
        </is>
      </c>
      <c r="D1467" t="inlineStr">
        <is>
          <t>Metropolitan</t>
        </is>
      </c>
      <c r="E1467" s="5" t="n">
        <v>1155</v>
      </c>
      <c r="F1467" s="4" t="n">
        <v>0.6597402597402597</v>
      </c>
      <c r="G1467" s="4" t="n">
        <v>0.6110881077576618</v>
      </c>
      <c r="H1467" s="3" t="n">
        <v>15697566.42300993</v>
      </c>
      <c r="I1467" s="3" t="n">
        <v>-363287.3162470609</v>
      </c>
      <c r="J1467" s="4" t="n">
        <v>-0.0231429067702203</v>
      </c>
      <c r="K1467">
        <f>IF(AND(I1467&gt;0,J1467&gt;=Assumptions!$B$4),1,0)</f>
        <v/>
      </c>
      <c r="L1467" s="3">
        <f>I1467*K1467</f>
        <v/>
      </c>
      <c r="M1467">
        <f>SUM($K$2:K1467)</f>
        <v/>
      </c>
    </row>
    <row r="1468">
      <c r="A1468" t="inlineStr">
        <is>
          <t>410011</t>
        </is>
      </c>
      <c r="B1468" t="inlineStr">
        <is>
          <t>Landmark Medical Center</t>
        </is>
      </c>
      <c r="C1468" t="inlineStr">
        <is>
          <t>RI</t>
        </is>
      </c>
      <c r="D1468" t="inlineStr">
        <is>
          <t>Metropolitan</t>
        </is>
      </c>
      <c r="E1468" s="5" t="n">
        <v>512</v>
      </c>
      <c r="F1468" s="4" t="n">
        <v>0.806640625</v>
      </c>
      <c r="G1468" s="4" t="n">
        <v>0.7001544510323856</v>
      </c>
      <c r="H1468" s="3" t="n">
        <v>6977588.512154409</v>
      </c>
      <c r="I1468" s="3" t="n">
        <v>-363498.8561795317</v>
      </c>
      <c r="J1468" s="4" t="n">
        <v>-0.0520951981542542</v>
      </c>
      <c r="K1468">
        <f>IF(AND(I1468&gt;0,J1468&gt;=Assumptions!$B$4),1,0)</f>
        <v/>
      </c>
      <c r="L1468" s="3">
        <f>I1468*K1468</f>
        <v/>
      </c>
      <c r="M1468">
        <f>SUM($K$2:K1468)</f>
        <v/>
      </c>
    </row>
    <row r="1469">
      <c r="A1469" t="inlineStr">
        <is>
          <t>360161</t>
        </is>
      </c>
      <c r="B1469" t="inlineStr">
        <is>
          <t>Mh St Joseph Warren Hospital</t>
        </is>
      </c>
      <c r="C1469" t="inlineStr">
        <is>
          <t>OH</t>
        </is>
      </c>
      <c r="D1469" t="inlineStr">
        <is>
          <t>Metropolitan</t>
        </is>
      </c>
      <c r="E1469" s="5" t="n">
        <v>943</v>
      </c>
      <c r="F1469" s="4" t="n">
        <v>0.6850477200424178</v>
      </c>
      <c r="G1469" s="4" t="n">
        <v>0.6693371199007738</v>
      </c>
      <c r="H1469" s="3" t="n">
        <v>13442341.65063362</v>
      </c>
      <c r="I1469" s="3" t="n">
        <v>-363754.58733752</v>
      </c>
      <c r="J1469" s="4" t="n">
        <v>-0.0270603587374506</v>
      </c>
      <c r="K1469">
        <f>IF(AND(I1469&gt;0,J1469&gt;=Assumptions!$B$4),1,0)</f>
        <v/>
      </c>
      <c r="L1469" s="3">
        <f>I1469*K1469</f>
        <v/>
      </c>
      <c r="M1469">
        <f>SUM($K$2:K1469)</f>
        <v/>
      </c>
    </row>
    <row r="1470">
      <c r="A1470" t="inlineStr">
        <is>
          <t>140217</t>
        </is>
      </c>
      <c r="B1470" t="inlineStr">
        <is>
          <t>Presence Saint Joseph Hospital - Elgin</t>
        </is>
      </c>
      <c r="C1470" t="inlineStr">
        <is>
          <t>IL</t>
        </is>
      </c>
      <c r="D1470" t="inlineStr">
        <is>
          <t>Metropolitan</t>
        </is>
      </c>
      <c r="E1470" s="5" t="n">
        <v>488</v>
      </c>
      <c r="F1470" s="4" t="n">
        <v>0.7971311475409836</v>
      </c>
      <c r="G1470" s="4" t="n">
        <v>0.6717557695674755</v>
      </c>
      <c r="H1470" s="3" t="n">
        <v>6303905.898001512</v>
      </c>
      <c r="I1470" s="3" t="n">
        <v>-364364.6643030467</v>
      </c>
      <c r="J1470" s="4" t="n">
        <v>-0.057799826044129</v>
      </c>
      <c r="K1470">
        <f>IF(AND(I1470&gt;0,J1470&gt;=Assumptions!$B$4),1,0)</f>
        <v/>
      </c>
      <c r="L1470" s="3">
        <f>I1470*K1470</f>
        <v/>
      </c>
      <c r="M1470">
        <f>SUM($K$2:K1470)</f>
        <v/>
      </c>
    </row>
    <row r="1471">
      <c r="A1471" t="inlineStr">
        <is>
          <t>170137</t>
        </is>
      </c>
      <c r="B1471" t="inlineStr">
        <is>
          <t>Lmh</t>
        </is>
      </c>
      <c r="C1471" t="inlineStr">
        <is>
          <t>KS</t>
        </is>
      </c>
      <c r="D1471" t="inlineStr">
        <is>
          <t>Metropolitan</t>
        </is>
      </c>
      <c r="E1471" s="5" t="n">
        <v>1247</v>
      </c>
      <c r="F1471" s="4" t="n">
        <v>0.6896551724137931</v>
      </c>
      <c r="G1471" s="4" t="n">
        <v>0.6401638937636462</v>
      </c>
      <c r="H1471" s="3" t="n">
        <v>19367177.52038362</v>
      </c>
      <c r="I1471" s="3" t="n">
        <v>-366280.2683618888</v>
      </c>
      <c r="J1471" s="4" t="n">
        <v>-0.0189124237631624</v>
      </c>
      <c r="K1471">
        <f>IF(AND(I1471&gt;0,J1471&gt;=Assumptions!$B$4),1,0)</f>
        <v/>
      </c>
      <c r="L1471" s="3">
        <f>I1471*K1471</f>
        <v/>
      </c>
      <c r="M1471">
        <f>SUM($K$2:K1471)</f>
        <v/>
      </c>
    </row>
    <row r="1472">
      <c r="A1472" t="inlineStr">
        <is>
          <t>360011</t>
        </is>
      </c>
      <c r="B1472" t="inlineStr">
        <is>
          <t>Marion General Hospital</t>
        </is>
      </c>
      <c r="C1472" t="inlineStr">
        <is>
          <t>OH</t>
        </is>
      </c>
      <c r="D1472" t="inlineStr">
        <is>
          <t>Micropolitan</t>
        </is>
      </c>
      <c r="E1472" s="5" t="n">
        <v>1158</v>
      </c>
      <c r="F1472" s="4" t="n">
        <v>0.6321243523316062</v>
      </c>
      <c r="G1472" s="4" t="n">
        <v>0.6197672485878643</v>
      </c>
      <c r="H1472" s="3" t="n">
        <v>15604171.94283446</v>
      </c>
      <c r="I1472" s="3" t="n">
        <v>-366318.6682748068</v>
      </c>
      <c r="J1472" s="4" t="n">
        <v>-0.0234756877594535</v>
      </c>
      <c r="K1472">
        <f>IF(AND(I1472&gt;0,J1472&gt;=Assumptions!$B$4),1,0)</f>
        <v/>
      </c>
      <c r="L1472" s="3">
        <f>I1472*K1472</f>
        <v/>
      </c>
      <c r="M1472">
        <f>SUM($K$2:K1472)</f>
        <v/>
      </c>
    </row>
    <row r="1473">
      <c r="A1473" t="inlineStr">
        <is>
          <t>050329</t>
        </is>
      </c>
      <c r="B1473" t="inlineStr">
        <is>
          <t>Corona Regional Medical Center</t>
        </is>
      </c>
      <c r="C1473" t="inlineStr">
        <is>
          <t>CA</t>
        </is>
      </c>
      <c r="D1473" t="inlineStr">
        <is>
          <t>Metropolitan</t>
        </is>
      </c>
      <c r="E1473" s="5" t="n">
        <v>615</v>
      </c>
      <c r="F1473" s="4" t="n">
        <v>0.7983739837398374</v>
      </c>
      <c r="G1473" s="4" t="n">
        <v>0.7098239025749656</v>
      </c>
      <c r="H1473" s="3" t="n">
        <v>8524046.223896217</v>
      </c>
      <c r="I1473" s="3" t="n">
        <v>-367368.874893792</v>
      </c>
      <c r="J1473" s="4" t="n">
        <v>-0.043097944948247</v>
      </c>
      <c r="K1473">
        <f>IF(AND(I1473&gt;0,J1473&gt;=Assumptions!$B$4),1,0)</f>
        <v/>
      </c>
      <c r="L1473" s="3">
        <f>I1473*K1473</f>
        <v/>
      </c>
      <c r="M1473">
        <f>SUM($K$2:K1473)</f>
        <v/>
      </c>
    </row>
    <row r="1474">
      <c r="A1474" t="inlineStr">
        <is>
          <t>360118</t>
        </is>
      </c>
      <c r="B1474" t="inlineStr">
        <is>
          <t>Ohiohealth Mansfield Hospital</t>
        </is>
      </c>
      <c r="C1474" t="inlineStr">
        <is>
          <t>OH</t>
        </is>
      </c>
      <c r="D1474" t="inlineStr">
        <is>
          <t>Metropolitan</t>
        </is>
      </c>
      <c r="E1474" s="5" t="n">
        <v>2048</v>
      </c>
      <c r="F1474" s="4" t="n">
        <v>0.58203125</v>
      </c>
      <c r="G1474" s="4" t="n">
        <v>0.5786725491377472</v>
      </c>
      <c r="H1474" s="3" t="n">
        <v>31727150.10045149</v>
      </c>
      <c r="I1474" s="3" t="n">
        <v>-368031.3884039261</v>
      </c>
      <c r="J1474" s="4" t="n">
        <v>-0.0115998880214169</v>
      </c>
      <c r="K1474">
        <f>IF(AND(I1474&gt;0,J1474&gt;=Assumptions!$B$4),1,0)</f>
        <v/>
      </c>
      <c r="L1474" s="3">
        <f>I1474*K1474</f>
        <v/>
      </c>
      <c r="M1474">
        <f>SUM($K$2:K1474)</f>
        <v/>
      </c>
    </row>
    <row r="1475">
      <c r="A1475" t="inlineStr">
        <is>
          <t>050327</t>
        </is>
      </c>
      <c r="B1475" t="inlineStr">
        <is>
          <t>Loma Linda University Medical Center</t>
        </is>
      </c>
      <c r="C1475" t="inlineStr">
        <is>
          <t>CA</t>
        </is>
      </c>
      <c r="D1475" t="inlineStr">
        <is>
          <t>Metropolitan</t>
        </is>
      </c>
      <c r="E1475" s="5" t="n">
        <v>2694</v>
      </c>
      <c r="F1475" s="4" t="n">
        <v>0.5898292501855976</v>
      </c>
      <c r="G1475" s="4" t="n">
        <v>0.5685445058104949</v>
      </c>
      <c r="H1475" s="3" t="n">
        <v>51431615.27026959</v>
      </c>
      <c r="I1475" s="3" t="n">
        <v>-368591.6217455268</v>
      </c>
      <c r="J1475" s="4" t="n">
        <v>-0.0071666351486066</v>
      </c>
      <c r="K1475">
        <f>IF(AND(I1475&gt;0,J1475&gt;=Assumptions!$B$4),1,0)</f>
        <v/>
      </c>
      <c r="L1475" s="3">
        <f>I1475*K1475</f>
        <v/>
      </c>
      <c r="M1475">
        <f>SUM($K$2:K1475)</f>
        <v/>
      </c>
    </row>
    <row r="1476">
      <c r="A1476" t="inlineStr">
        <is>
          <t>030122</t>
        </is>
      </c>
      <c r="B1476" t="inlineStr">
        <is>
          <t>Banner Gateway Medical Center</t>
        </is>
      </c>
      <c r="C1476" t="inlineStr">
        <is>
          <t>AZ</t>
        </is>
      </c>
      <c r="D1476" t="inlineStr">
        <is>
          <t>Metropolitan</t>
        </is>
      </c>
      <c r="E1476" s="5" t="n">
        <v>995</v>
      </c>
      <c r="F1476" s="4" t="n">
        <v>0.6814070351758794</v>
      </c>
      <c r="G1476" s="4" t="n">
        <v>0.6618440320057137</v>
      </c>
      <c r="H1476" s="3" t="n">
        <v>18970314.01900859</v>
      </c>
      <c r="I1476" s="3" t="n">
        <v>-375493.2745346166</v>
      </c>
      <c r="J1476" s="4" t="n">
        <v>-0.0197937300436021</v>
      </c>
      <c r="K1476">
        <f>IF(AND(I1476&gt;0,J1476&gt;=Assumptions!$B$4),1,0)</f>
        <v/>
      </c>
      <c r="L1476" s="3">
        <f>I1476*K1476</f>
        <v/>
      </c>
      <c r="M1476">
        <f>SUM($K$2:K1476)</f>
        <v/>
      </c>
    </row>
    <row r="1477">
      <c r="A1477" t="inlineStr">
        <is>
          <t>050145</t>
        </is>
      </c>
      <c r="B1477" t="inlineStr">
        <is>
          <t>Community Hospital Of The Monterey Peninsula</t>
        </is>
      </c>
      <c r="C1477" t="inlineStr">
        <is>
          <t>CA</t>
        </is>
      </c>
      <c r="D1477" t="inlineStr">
        <is>
          <t>Metropolitan</t>
        </is>
      </c>
      <c r="E1477" s="5" t="n">
        <v>3991</v>
      </c>
      <c r="F1477" s="4" t="n">
        <v>0.5815585066399399</v>
      </c>
      <c r="G1477" s="4" t="n">
        <v>0.5714802804779933</v>
      </c>
      <c r="H1477" s="3" t="n">
        <v>68435860.28865324</v>
      </c>
      <c r="I1477" s="3" t="n">
        <v>-376907.2357587218</v>
      </c>
      <c r="J1477" s="4" t="n">
        <v>-0.0055074522942939</v>
      </c>
      <c r="K1477">
        <f>IF(AND(I1477&gt;0,J1477&gt;=Assumptions!$B$4),1,0)</f>
        <v/>
      </c>
      <c r="L1477" s="3">
        <f>I1477*K1477</f>
        <v/>
      </c>
      <c r="M1477">
        <f>SUM($K$2:K1477)</f>
        <v/>
      </c>
    </row>
    <row r="1478">
      <c r="A1478" t="inlineStr">
        <is>
          <t>490075</t>
        </is>
      </c>
      <c r="B1478" t="inlineStr">
        <is>
          <t>Sovah Health Danville</t>
        </is>
      </c>
      <c r="C1478" t="inlineStr">
        <is>
          <t>VA</t>
        </is>
      </c>
      <c r="D1478" t="inlineStr">
        <is>
          <t>Micropolitan</t>
        </is>
      </c>
      <c r="E1478" s="5" t="n">
        <v>1668</v>
      </c>
      <c r="F1478" s="4" t="n">
        <v>0.7044364508393285</v>
      </c>
      <c r="G1478" s="4" t="n">
        <v>0.6685843127464067</v>
      </c>
      <c r="H1478" s="3" t="n">
        <v>24403272.23425265</v>
      </c>
      <c r="I1478" s="3" t="n">
        <v>-377220.041434452</v>
      </c>
      <c r="J1478" s="4" t="n">
        <v>-0.0154577647543915</v>
      </c>
      <c r="K1478">
        <f>IF(AND(I1478&gt;0,J1478&gt;=Assumptions!$B$4),1,0)</f>
        <v/>
      </c>
      <c r="L1478" s="3">
        <f>I1478*K1478</f>
        <v/>
      </c>
      <c r="M1478">
        <f>SUM($K$2:K1478)</f>
        <v/>
      </c>
    </row>
    <row r="1479">
      <c r="A1479" t="inlineStr">
        <is>
          <t>490112</t>
        </is>
      </c>
      <c r="B1479" t="inlineStr">
        <is>
          <t>Cjw Medical Center</t>
        </is>
      </c>
      <c r="C1479" t="inlineStr">
        <is>
          <t>VA</t>
        </is>
      </c>
      <c r="D1479" t="inlineStr">
        <is>
          <t>Metropolitan</t>
        </is>
      </c>
      <c r="E1479" s="5" t="n">
        <v>6381</v>
      </c>
      <c r="F1479" s="4" t="n">
        <v>0.5032126625920702</v>
      </c>
      <c r="G1479" s="4" t="n">
        <v>0.5070213362504405</v>
      </c>
      <c r="H1479" s="3" t="n">
        <v>111899310.9895831</v>
      </c>
      <c r="I1479" s="3" t="n">
        <v>-378177.6116325706</v>
      </c>
      <c r="J1479" s="4" t="n">
        <v>-0.003379624130731</v>
      </c>
      <c r="K1479">
        <f>IF(AND(I1479&gt;0,J1479&gt;=Assumptions!$B$4),1,0)</f>
        <v/>
      </c>
      <c r="L1479" s="3">
        <f>I1479*K1479</f>
        <v/>
      </c>
      <c r="M1479">
        <f>SUM($K$2:K1479)</f>
        <v/>
      </c>
    </row>
    <row r="1480">
      <c r="A1480" t="inlineStr">
        <is>
          <t>180011</t>
        </is>
      </c>
      <c r="B1480" t="inlineStr">
        <is>
          <t>Chi Saint Joseph London</t>
        </is>
      </c>
      <c r="C1480" t="inlineStr">
        <is>
          <t>KY</t>
        </is>
      </c>
      <c r="D1480" t="inlineStr">
        <is>
          <t>Micropolitan</t>
        </is>
      </c>
      <c r="E1480" s="5" t="n">
        <v>577</v>
      </c>
      <c r="F1480" s="4" t="n">
        <v>0.8526863084922011</v>
      </c>
      <c r="G1480" s="4" t="n">
        <v>0.7476823871518795</v>
      </c>
      <c r="H1480" s="3" t="n">
        <v>7968410.809918884</v>
      </c>
      <c r="I1480" s="3" t="n">
        <v>-378631.07324431</v>
      </c>
      <c r="J1480" s="4" t="n">
        <v>-0.0475165101644859</v>
      </c>
      <c r="K1480">
        <f>IF(AND(I1480&gt;0,J1480&gt;=Assumptions!$B$4),1,0)</f>
        <v/>
      </c>
      <c r="L1480" s="3">
        <f>I1480*K1480</f>
        <v/>
      </c>
      <c r="M1480">
        <f>SUM($K$2:K1480)</f>
        <v/>
      </c>
    </row>
    <row r="1481">
      <c r="A1481" t="inlineStr">
        <is>
          <t>140155</t>
        </is>
      </c>
      <c r="B1481" t="inlineStr">
        <is>
          <t>Presence St Marys Hospital</t>
        </is>
      </c>
      <c r="C1481" t="inlineStr">
        <is>
          <t>IL</t>
        </is>
      </c>
      <c r="D1481" t="inlineStr">
        <is>
          <t>Metropolitan</t>
        </is>
      </c>
      <c r="E1481" s="5" t="n">
        <v>675</v>
      </c>
      <c r="F1481" s="4" t="n">
        <v>0.7007407407407408</v>
      </c>
      <c r="G1481" s="4" t="n">
        <v>0.6492755537097331</v>
      </c>
      <c r="H1481" s="3" t="n">
        <v>9488682.182570511</v>
      </c>
      <c r="I1481" s="3" t="n">
        <v>-378635.0496537294</v>
      </c>
      <c r="J1481" s="4" t="n">
        <v>-0.0399038604485281</v>
      </c>
      <c r="K1481">
        <f>IF(AND(I1481&gt;0,J1481&gt;=Assumptions!$B$4),1,0)</f>
        <v/>
      </c>
      <c r="L1481" s="3">
        <f>I1481*K1481</f>
        <v/>
      </c>
      <c r="M1481">
        <f>SUM($K$2:K1481)</f>
        <v/>
      </c>
    </row>
    <row r="1482">
      <c r="A1482" t="inlineStr">
        <is>
          <t>330128</t>
        </is>
      </c>
      <c r="B1482" t="inlineStr">
        <is>
          <t>Elmhurst Hospital Center</t>
        </is>
      </c>
      <c r="C1482" t="inlineStr">
        <is>
          <t>NY</t>
        </is>
      </c>
      <c r="D1482" t="inlineStr">
        <is>
          <t>Metropolitan</t>
        </is>
      </c>
      <c r="E1482" s="5" t="n">
        <v>877</v>
      </c>
      <c r="F1482" s="4" t="n">
        <v>0.6830102622576967</v>
      </c>
      <c r="G1482" s="4" t="n">
        <v>0.6196999572151415</v>
      </c>
      <c r="H1482" s="3" t="n">
        <v>12046798.01011235</v>
      </c>
      <c r="I1482" s="3" t="n">
        <v>-379149.1410109252</v>
      </c>
      <c r="J1482" s="4" t="n">
        <v>-0.0314730221833767</v>
      </c>
      <c r="K1482">
        <f>IF(AND(I1482&gt;0,J1482&gt;=Assumptions!$B$4),1,0)</f>
        <v/>
      </c>
      <c r="L1482" s="3">
        <f>I1482*K1482</f>
        <v/>
      </c>
      <c r="M1482">
        <f>SUM($K$2:K1482)</f>
        <v/>
      </c>
    </row>
    <row r="1483">
      <c r="A1483" t="inlineStr">
        <is>
          <t>050590</t>
        </is>
      </c>
      <c r="B1483" t="inlineStr">
        <is>
          <t>Methodist Hospital Of Sacramento</t>
        </is>
      </c>
      <c r="C1483" t="inlineStr">
        <is>
          <t>CA</t>
        </is>
      </c>
      <c r="D1483" t="inlineStr">
        <is>
          <t>Metropolitan</t>
        </is>
      </c>
      <c r="E1483" s="5" t="n">
        <v>962</v>
      </c>
      <c r="F1483" s="4" t="n">
        <v>0.7889812889812889</v>
      </c>
      <c r="G1483" s="4" t="n">
        <v>0.7161841151775763</v>
      </c>
      <c r="H1483" s="3" t="n">
        <v>13281386.8237068</v>
      </c>
      <c r="I1483" s="3" t="n">
        <v>-380197.4959553816</v>
      </c>
      <c r="J1483" s="4" t="n">
        <v>-0.0286263400804457</v>
      </c>
      <c r="K1483">
        <f>IF(AND(I1483&gt;0,J1483&gt;=Assumptions!$B$4),1,0)</f>
        <v/>
      </c>
      <c r="L1483" s="3">
        <f>I1483*K1483</f>
        <v/>
      </c>
      <c r="M1483">
        <f>SUM($K$2:K1483)</f>
        <v/>
      </c>
    </row>
    <row r="1484">
      <c r="A1484" t="inlineStr">
        <is>
          <t>450051</t>
        </is>
      </c>
      <c r="B1484" t="inlineStr">
        <is>
          <t>Methodist Dallas Medical Center</t>
        </is>
      </c>
      <c r="C1484" t="inlineStr">
        <is>
          <t>TX</t>
        </is>
      </c>
      <c r="D1484" t="inlineStr">
        <is>
          <t>Metropolitan</t>
        </is>
      </c>
      <c r="E1484" s="5" t="n">
        <v>1098</v>
      </c>
      <c r="F1484" s="4" t="n">
        <v>0.6584699453551912</v>
      </c>
      <c r="G1484" s="4" t="n">
        <v>0.6107492239538692</v>
      </c>
      <c r="H1484" s="3" t="n">
        <v>21385117.51817315</v>
      </c>
      <c r="I1484" s="3" t="n">
        <v>-382604.4473028742</v>
      </c>
      <c r="J1484" s="4" t="n">
        <v>-0.0178911547704956</v>
      </c>
      <c r="K1484">
        <f>IF(AND(I1484&gt;0,J1484&gt;=Assumptions!$B$4),1,0)</f>
        <v/>
      </c>
      <c r="L1484" s="3">
        <f>I1484*K1484</f>
        <v/>
      </c>
      <c r="M1484">
        <f>SUM($K$2:K1484)</f>
        <v/>
      </c>
    </row>
    <row r="1485">
      <c r="A1485" t="inlineStr">
        <is>
          <t>330056</t>
        </is>
      </c>
      <c r="B1485" t="inlineStr">
        <is>
          <t>Brooklyn Hospital Center - Downtown Campus</t>
        </is>
      </c>
      <c r="C1485" t="inlineStr">
        <is>
          <t>NY</t>
        </is>
      </c>
      <c r="D1485" t="inlineStr">
        <is>
          <t>Metropolitan</t>
        </is>
      </c>
      <c r="E1485" s="5" t="n">
        <v>779</v>
      </c>
      <c r="F1485" s="4" t="n">
        <v>0.7150192554557124</v>
      </c>
      <c r="G1485" s="4" t="n">
        <v>0.6638144372401656</v>
      </c>
      <c r="H1485" s="3" t="n">
        <v>10863433.64644398</v>
      </c>
      <c r="I1485" s="3" t="n">
        <v>-384537.1808295082</v>
      </c>
      <c r="J1485" s="4" t="n">
        <v>-0.0353973884633963</v>
      </c>
      <c r="K1485">
        <f>IF(AND(I1485&gt;0,J1485&gt;=Assumptions!$B$4),1,0)</f>
        <v/>
      </c>
      <c r="L1485" s="3">
        <f>I1485*K1485</f>
        <v/>
      </c>
      <c r="M1485">
        <f>SUM($K$2:K1485)</f>
        <v/>
      </c>
    </row>
    <row r="1486">
      <c r="A1486" t="inlineStr">
        <is>
          <t>380050</t>
        </is>
      </c>
      <c r="B1486" t="inlineStr">
        <is>
          <t>Sky Lakes Medical Center</t>
        </is>
      </c>
      <c r="C1486" t="inlineStr">
        <is>
          <t>OR</t>
        </is>
      </c>
      <c r="D1486" t="inlineStr">
        <is>
          <t>Micropolitan</t>
        </is>
      </c>
      <c r="E1486" s="5" t="n">
        <v>834</v>
      </c>
      <c r="F1486" s="4" t="n">
        <v>0.7014388489208633</v>
      </c>
      <c r="G1486" s="4" t="n">
        <v>0.644583563705263</v>
      </c>
      <c r="H1486" s="3" t="n">
        <v>12095328.80555895</v>
      </c>
      <c r="I1486" s="3" t="n">
        <v>-384944.9837671835</v>
      </c>
      <c r="J1486" s="4" t="n">
        <v>-0.0318259213912617</v>
      </c>
      <c r="K1486">
        <f>IF(AND(I1486&gt;0,J1486&gt;=Assumptions!$B$4),1,0)</f>
        <v/>
      </c>
      <c r="L1486" s="3">
        <f>I1486*K1486</f>
        <v/>
      </c>
      <c r="M1486">
        <f>SUM($K$2:K1486)</f>
        <v/>
      </c>
    </row>
    <row r="1487">
      <c r="A1487" t="inlineStr">
        <is>
          <t>450128</t>
        </is>
      </c>
      <c r="B1487" t="inlineStr">
        <is>
          <t>Knapp Medical Center</t>
        </is>
      </c>
      <c r="C1487" t="inlineStr">
        <is>
          <t>TX</t>
        </is>
      </c>
      <c r="D1487" t="inlineStr">
        <is>
          <t>Metropolitan</t>
        </is>
      </c>
      <c r="E1487" s="5" t="n">
        <v>451</v>
      </c>
      <c r="F1487" s="4" t="n">
        <v>0.9046563192904656</v>
      </c>
      <c r="G1487" s="4" t="n">
        <v>0.7692489252179775</v>
      </c>
      <c r="H1487" s="3" t="n">
        <v>6732737.516245178</v>
      </c>
      <c r="I1487" s="3" t="n">
        <v>-385173.6783237923</v>
      </c>
      <c r="J1487" s="4" t="n">
        <v>-0.0572090739308373</v>
      </c>
      <c r="K1487">
        <f>IF(AND(I1487&gt;0,J1487&gt;=Assumptions!$B$4),1,0)</f>
        <v/>
      </c>
      <c r="L1487" s="3">
        <f>I1487*K1487</f>
        <v/>
      </c>
      <c r="M1487">
        <f>SUM($K$2:K1487)</f>
        <v/>
      </c>
    </row>
    <row r="1488">
      <c r="A1488" t="inlineStr">
        <is>
          <t>250100</t>
        </is>
      </c>
      <c r="B1488" t="inlineStr">
        <is>
          <t>Bmh-Golden Triangle</t>
        </is>
      </c>
      <c r="C1488" t="inlineStr">
        <is>
          <t>MS</t>
        </is>
      </c>
      <c r="D1488" t="inlineStr">
        <is>
          <t>Small town</t>
        </is>
      </c>
      <c r="E1488" s="5" t="n">
        <v>1770</v>
      </c>
      <c r="F1488" s="4" t="n">
        <v>0.6841807909604519</v>
      </c>
      <c r="G1488" s="4" t="n">
        <v>0.6360623011387189</v>
      </c>
      <c r="H1488" s="3" t="n">
        <v>28888178.40999992</v>
      </c>
      <c r="I1488" s="3" t="n">
        <v>-386083.9672986604</v>
      </c>
      <c r="J1488" s="4" t="n">
        <v>-0.0133647737084389</v>
      </c>
      <c r="K1488">
        <f>IF(AND(I1488&gt;0,J1488&gt;=Assumptions!$B$4),1,0)</f>
        <v/>
      </c>
      <c r="L1488" s="3">
        <f>I1488*K1488</f>
        <v/>
      </c>
      <c r="M1488">
        <f>SUM($K$2:K1488)</f>
        <v/>
      </c>
    </row>
    <row r="1489">
      <c r="A1489" t="inlineStr">
        <is>
          <t>150023</t>
        </is>
      </c>
      <c r="B1489" t="inlineStr">
        <is>
          <t>Union Hospital Inc</t>
        </is>
      </c>
      <c r="C1489" t="inlineStr">
        <is>
          <t>IN</t>
        </is>
      </c>
      <c r="D1489" t="inlineStr">
        <is>
          <t>Metropolitan</t>
        </is>
      </c>
      <c r="E1489" s="5" t="n">
        <v>3542</v>
      </c>
      <c r="F1489" s="4" t="n">
        <v>0.5861095426312818</v>
      </c>
      <c r="G1489" s="4" t="n">
        <v>0.5821153328683946</v>
      </c>
      <c r="H1489" s="3" t="n">
        <v>51929876.64843179</v>
      </c>
      <c r="I1489" s="3" t="n">
        <v>-386607.6723584011</v>
      </c>
      <c r="J1489" s="4" t="n">
        <v>-0.007444802439562</v>
      </c>
      <c r="K1489">
        <f>IF(AND(I1489&gt;0,J1489&gt;=Assumptions!$B$4),1,0)</f>
        <v/>
      </c>
      <c r="L1489" s="3">
        <f>I1489*K1489</f>
        <v/>
      </c>
      <c r="M1489">
        <f>SUM($K$2:K1489)</f>
        <v/>
      </c>
    </row>
    <row r="1490">
      <c r="A1490" t="inlineStr">
        <is>
          <t>440059</t>
        </is>
      </c>
      <c r="B1490" t="inlineStr">
        <is>
          <t>Cookeville Regional Medical Center</t>
        </is>
      </c>
      <c r="C1490" t="inlineStr">
        <is>
          <t>TN</t>
        </is>
      </c>
      <c r="D1490" t="inlineStr">
        <is>
          <t>Micropolitan</t>
        </is>
      </c>
      <c r="E1490" s="5" t="n">
        <v>2825</v>
      </c>
      <c r="F1490" s="4" t="n">
        <v>0.6127433628318584</v>
      </c>
      <c r="G1490" s="4" t="n">
        <v>0.5925718942878349</v>
      </c>
      <c r="H1490" s="3" t="n">
        <v>46262508.21305181</v>
      </c>
      <c r="I1490" s="3" t="n">
        <v>-387158.9769148901</v>
      </c>
      <c r="J1490" s="4" t="n">
        <v>-0.0083687415980974</v>
      </c>
      <c r="K1490">
        <f>IF(AND(I1490&gt;0,J1490&gt;=Assumptions!$B$4),1,0)</f>
        <v/>
      </c>
      <c r="L1490" s="3">
        <f>I1490*K1490</f>
        <v/>
      </c>
      <c r="M1490">
        <f>SUM($K$2:K1490)</f>
        <v/>
      </c>
    </row>
    <row r="1491">
      <c r="A1491" t="inlineStr">
        <is>
          <t>340109</t>
        </is>
      </c>
      <c r="B1491" t="inlineStr">
        <is>
          <t>Sentara Albemarle Medical Center</t>
        </is>
      </c>
      <c r="C1491" t="inlineStr">
        <is>
          <t>NC</t>
        </is>
      </c>
      <c r="D1491" t="inlineStr">
        <is>
          <t>Micropolitan</t>
        </is>
      </c>
      <c r="E1491" s="5" t="n">
        <v>1192</v>
      </c>
      <c r="F1491" s="4" t="n">
        <v>0.7307046979865772</v>
      </c>
      <c r="G1491" s="4" t="n">
        <v>0.6750394432889287</v>
      </c>
      <c r="H1491" s="3" t="n">
        <v>16746512.87395308</v>
      </c>
      <c r="I1491" s="3" t="n">
        <v>-388358.9174998626</v>
      </c>
      <c r="J1491" s="4" t="n">
        <v>-0.0231904349534106</v>
      </c>
      <c r="K1491">
        <f>IF(AND(I1491&gt;0,J1491&gt;=Assumptions!$B$4),1,0)</f>
        <v/>
      </c>
      <c r="L1491" s="3">
        <f>I1491*K1491</f>
        <v/>
      </c>
      <c r="M1491">
        <f>SUM($K$2:K1491)</f>
        <v/>
      </c>
    </row>
    <row r="1492">
      <c r="A1492" t="inlineStr">
        <is>
          <t>040078</t>
        </is>
      </c>
      <c r="B1492" t="inlineStr">
        <is>
          <t>National Park Medical Center</t>
        </is>
      </c>
      <c r="C1492" t="inlineStr">
        <is>
          <t>AR</t>
        </is>
      </c>
      <c r="D1492" t="inlineStr">
        <is>
          <t>Metropolitan</t>
        </is>
      </c>
      <c r="E1492" s="5" t="n">
        <v>675</v>
      </c>
      <c r="F1492" s="4" t="n">
        <v>0.7022222222222222</v>
      </c>
      <c r="G1492" s="4" t="n">
        <v>0.6571580810393316</v>
      </c>
      <c r="H1492" s="3" t="n">
        <v>10379263.74409675</v>
      </c>
      <c r="I1492" s="3" t="n">
        <v>-389438.6372774281</v>
      </c>
      <c r="J1492" s="4" t="n">
        <v>-0.0375208345099548</v>
      </c>
      <c r="K1492">
        <f>IF(AND(I1492&gt;0,J1492&gt;=Assumptions!$B$4),1,0)</f>
        <v/>
      </c>
      <c r="L1492" s="3">
        <f>I1492*K1492</f>
        <v/>
      </c>
      <c r="M1492">
        <f>SUM($K$2:K1492)</f>
        <v/>
      </c>
    </row>
    <row r="1493">
      <c r="A1493" t="inlineStr">
        <is>
          <t>250104</t>
        </is>
      </c>
      <c r="B1493" t="inlineStr">
        <is>
          <t>Anderson Regional Medical Center</t>
        </is>
      </c>
      <c r="C1493" t="inlineStr">
        <is>
          <t>MS</t>
        </is>
      </c>
      <c r="D1493" t="inlineStr">
        <is>
          <t>Micropolitan</t>
        </is>
      </c>
      <c r="E1493" s="5" t="n">
        <v>1517</v>
      </c>
      <c r="F1493" s="4" t="n">
        <v>0.6170072511535926</v>
      </c>
      <c r="G1493" s="4" t="n">
        <v>0.6104733462432739</v>
      </c>
      <c r="H1493" s="3" t="n">
        <v>21549947.97476973</v>
      </c>
      <c r="I1493" s="3" t="n">
        <v>-390581.0267815925</v>
      </c>
      <c r="J1493" s="4" t="n">
        <v>-0.018124453350833</v>
      </c>
      <c r="K1493">
        <f>IF(AND(I1493&gt;0,J1493&gt;=Assumptions!$B$4),1,0)</f>
        <v/>
      </c>
      <c r="L1493" s="3">
        <f>I1493*K1493</f>
        <v/>
      </c>
      <c r="M1493">
        <f>SUM($K$2:K1493)</f>
        <v/>
      </c>
    </row>
    <row r="1494">
      <c r="A1494" t="inlineStr">
        <is>
          <t>050281</t>
        </is>
      </c>
      <c r="B1494" t="inlineStr">
        <is>
          <t>Alhambra Hospital Medical Center</t>
        </is>
      </c>
      <c r="C1494" t="inlineStr">
        <is>
          <t>CA</t>
        </is>
      </c>
      <c r="D1494" t="inlineStr">
        <is>
          <t>Metropolitan</t>
        </is>
      </c>
      <c r="E1494" s="5" t="n">
        <v>469</v>
      </c>
      <c r="F1494" s="4" t="n">
        <v>0.8464818763326226</v>
      </c>
      <c r="G1494" s="4" t="n">
        <v>0.7183565149895594</v>
      </c>
      <c r="H1494" s="3" t="n">
        <v>6633573.227605621</v>
      </c>
      <c r="I1494" s="3" t="n">
        <v>-392100.5511240214</v>
      </c>
      <c r="J1494" s="4" t="n">
        <v>-0.0591084981910344</v>
      </c>
      <c r="K1494">
        <f>IF(AND(I1494&gt;0,J1494&gt;=Assumptions!$B$4),1,0)</f>
        <v/>
      </c>
      <c r="L1494" s="3">
        <f>I1494*K1494</f>
        <v/>
      </c>
      <c r="M1494">
        <f>SUM($K$2:K1494)</f>
        <v/>
      </c>
    </row>
    <row r="1495">
      <c r="A1495" t="inlineStr">
        <is>
          <t>190054</t>
        </is>
      </c>
      <c r="B1495" t="inlineStr">
        <is>
          <t>Iberia Medical Center</t>
        </is>
      </c>
      <c r="C1495" t="inlineStr">
        <is>
          <t>LA</t>
        </is>
      </c>
      <c r="D1495" t="inlineStr">
        <is>
          <t>Metropolitan</t>
        </is>
      </c>
      <c r="E1495" s="5" t="n">
        <v>531</v>
      </c>
      <c r="F1495" s="4" t="n">
        <v>0.8210922787193974</v>
      </c>
      <c r="G1495" s="4" t="n">
        <v>0.7055796009355433</v>
      </c>
      <c r="H1495" s="3" t="n">
        <v>7649557.562111563</v>
      </c>
      <c r="I1495" s="3" t="n">
        <v>-392914.1466736877</v>
      </c>
      <c r="J1495" s="4" t="n">
        <v>-0.051364297017621</v>
      </c>
      <c r="K1495">
        <f>IF(AND(I1495&gt;0,J1495&gt;=Assumptions!$B$4),1,0)</f>
        <v/>
      </c>
      <c r="L1495" s="3">
        <f>I1495*K1495</f>
        <v/>
      </c>
      <c r="M1495">
        <f>SUM($K$2:K1495)</f>
        <v/>
      </c>
    </row>
    <row r="1496">
      <c r="A1496" t="inlineStr">
        <is>
          <t>300005</t>
        </is>
      </c>
      <c r="B1496" t="inlineStr">
        <is>
          <t>Concord Hospital- Laconia</t>
        </is>
      </c>
      <c r="C1496" t="inlineStr">
        <is>
          <t>NH</t>
        </is>
      </c>
      <c r="D1496" t="inlineStr">
        <is>
          <t>Micropolitan</t>
        </is>
      </c>
      <c r="E1496" s="5" t="n">
        <v>700</v>
      </c>
      <c r="F1496" s="4" t="n">
        <v>0.8128571428571428</v>
      </c>
      <c r="G1496" s="4" t="n">
        <v>0.7083992561876734</v>
      </c>
      <c r="H1496" s="3" t="n">
        <v>9482230.453680631</v>
      </c>
      <c r="I1496" s="3" t="n">
        <v>-392917.6739359908</v>
      </c>
      <c r="J1496" s="4" t="n">
        <v>-0.0414372626625495</v>
      </c>
      <c r="K1496">
        <f>IF(AND(I1496&gt;0,J1496&gt;=Assumptions!$B$4),1,0)</f>
        <v/>
      </c>
      <c r="L1496" s="3">
        <f>I1496*K1496</f>
        <v/>
      </c>
      <c r="M1496">
        <f>SUM($K$2:K1496)</f>
        <v/>
      </c>
    </row>
    <row r="1497">
      <c r="A1497" t="inlineStr">
        <is>
          <t>060009</t>
        </is>
      </c>
      <c r="B1497" t="inlineStr">
        <is>
          <t>Lutheran Medical Center</t>
        </is>
      </c>
      <c r="C1497" t="inlineStr">
        <is>
          <t>CO</t>
        </is>
      </c>
      <c r="D1497" t="inlineStr">
        <is>
          <t>Metropolitan</t>
        </is>
      </c>
      <c r="E1497" s="5" t="n">
        <v>995</v>
      </c>
      <c r="F1497" s="4" t="n">
        <v>0.7065326633165829</v>
      </c>
      <c r="G1497" s="4" t="n">
        <v>0.645964222761865</v>
      </c>
      <c r="H1497" s="3" t="n">
        <v>14657126.54916233</v>
      </c>
      <c r="I1497" s="3" t="n">
        <v>-394362.5256480873</v>
      </c>
      <c r="J1497" s="4" t="n">
        <v>-0.0269058552728826</v>
      </c>
      <c r="K1497">
        <f>IF(AND(I1497&gt;0,J1497&gt;=Assumptions!$B$4),1,0)</f>
        <v/>
      </c>
      <c r="L1497" s="3">
        <f>I1497*K1497</f>
        <v/>
      </c>
      <c r="M1497">
        <f>SUM($K$2:K1497)</f>
        <v/>
      </c>
    </row>
    <row r="1498">
      <c r="A1498" t="inlineStr">
        <is>
          <t>450678</t>
        </is>
      </c>
      <c r="B1498" t="inlineStr">
        <is>
          <t>White Rock Medical Center</t>
        </is>
      </c>
      <c r="C1498" t="inlineStr">
        <is>
          <t>TX</t>
        </is>
      </c>
      <c r="D1498" t="inlineStr">
        <is>
          <t>Metropolitan</t>
        </is>
      </c>
      <c r="E1498" s="5" t="n">
        <v>325</v>
      </c>
      <c r="F1498" s="4" t="n">
        <v>0.96</v>
      </c>
      <c r="G1498" s="4" t="n">
        <v>0.782361122524076</v>
      </c>
      <c r="H1498" s="3" t="n">
        <v>5346669.548021841</v>
      </c>
      <c r="I1498" s="3" t="n">
        <v>-396840.3195357807</v>
      </c>
      <c r="J1498" s="4" t="n">
        <v>-0.07422196490198341</v>
      </c>
      <c r="K1498">
        <f>IF(AND(I1498&gt;0,J1498&gt;=Assumptions!$B$4),1,0)</f>
        <v/>
      </c>
      <c r="L1498" s="3">
        <f>I1498*K1498</f>
        <v/>
      </c>
      <c r="M1498">
        <f>SUM($K$2:K1498)</f>
        <v/>
      </c>
    </row>
    <row r="1499">
      <c r="A1499" t="inlineStr">
        <is>
          <t>260085</t>
        </is>
      </c>
      <c r="B1499" t="inlineStr">
        <is>
          <t>St Joseph Medical Center</t>
        </is>
      </c>
      <c r="C1499" t="inlineStr">
        <is>
          <t>MO</t>
        </is>
      </c>
      <c r="D1499" t="inlineStr">
        <is>
          <t>Metropolitan</t>
        </is>
      </c>
      <c r="E1499" s="5" t="n">
        <v>663</v>
      </c>
      <c r="F1499" s="4" t="n">
        <v>0.7586726998491704</v>
      </c>
      <c r="G1499" s="4" t="n">
        <v>0.6702209010649758</v>
      </c>
      <c r="H1499" s="3" t="n">
        <v>9985887.669731351</v>
      </c>
      <c r="I1499" s="3" t="n">
        <v>-397302.9854262415</v>
      </c>
      <c r="J1499" s="4" t="n">
        <v>-0.0397864464899323</v>
      </c>
      <c r="K1499">
        <f>IF(AND(I1499&gt;0,J1499&gt;=Assumptions!$B$4),1,0)</f>
        <v/>
      </c>
      <c r="L1499" s="3">
        <f>I1499*K1499</f>
        <v/>
      </c>
      <c r="M1499">
        <f>SUM($K$2:K1499)</f>
        <v/>
      </c>
    </row>
    <row r="1500">
      <c r="A1500" t="inlineStr">
        <is>
          <t>140080</t>
        </is>
      </c>
      <c r="B1500" t="inlineStr">
        <is>
          <t>Presence Saint Francis Hospital</t>
        </is>
      </c>
      <c r="C1500" t="inlineStr">
        <is>
          <t>IL</t>
        </is>
      </c>
      <c r="D1500" t="inlineStr">
        <is>
          <t>Metropolitan</t>
        </is>
      </c>
      <c r="E1500" s="5" t="n">
        <v>933</v>
      </c>
      <c r="F1500" s="4" t="n">
        <v>0.7159699892818864</v>
      </c>
      <c r="G1500" s="4" t="n">
        <v>0.6647077165407731</v>
      </c>
      <c r="H1500" s="3" t="n">
        <v>12981160.20140006</v>
      </c>
      <c r="I1500" s="3" t="n">
        <v>-398534.1181683745</v>
      </c>
      <c r="J1500" s="4" t="n">
        <v>-0.0307009629328348</v>
      </c>
      <c r="K1500">
        <f>IF(AND(I1500&gt;0,J1500&gt;=Assumptions!$B$4),1,0)</f>
        <v/>
      </c>
      <c r="L1500" s="3">
        <f>I1500*K1500</f>
        <v/>
      </c>
      <c r="M1500">
        <f>SUM($K$2:K1500)</f>
        <v/>
      </c>
    </row>
    <row r="1501">
      <c r="A1501" t="inlineStr">
        <is>
          <t>170104</t>
        </is>
      </c>
      <c r="B1501" t="inlineStr">
        <is>
          <t>Adventhealth Shawnee Mission</t>
        </is>
      </c>
      <c r="C1501" t="inlineStr">
        <is>
          <t>KS</t>
        </is>
      </c>
      <c r="D1501" t="inlineStr">
        <is>
          <t>Metropolitan</t>
        </is>
      </c>
      <c r="E1501" s="5" t="n">
        <v>2347</v>
      </c>
      <c r="F1501" s="4" t="n">
        <v>0.5794631444397103</v>
      </c>
      <c r="G1501" s="4" t="n">
        <v>0.5470143564722146</v>
      </c>
      <c r="H1501" s="3" t="n">
        <v>36192522.70772297</v>
      </c>
      <c r="I1501" s="3" t="n">
        <v>-401104.365820311</v>
      </c>
      <c r="J1501" s="4" t="n">
        <v>-0.0110825202503698</v>
      </c>
      <c r="K1501">
        <f>IF(AND(I1501&gt;0,J1501&gt;=Assumptions!$B$4),1,0)</f>
        <v/>
      </c>
      <c r="L1501" s="3">
        <f>I1501*K1501</f>
        <v/>
      </c>
      <c r="M1501">
        <f>SUM($K$2:K1501)</f>
        <v/>
      </c>
    </row>
    <row r="1502">
      <c r="A1502" t="inlineStr">
        <is>
          <t>110016</t>
        </is>
      </c>
      <c r="B1502" t="inlineStr">
        <is>
          <t>Wellstar West Georgia Medical Center</t>
        </is>
      </c>
      <c r="C1502" t="inlineStr">
        <is>
          <t>GA</t>
        </is>
      </c>
      <c r="D1502" t="inlineStr">
        <is>
          <t>Micropolitan</t>
        </is>
      </c>
      <c r="E1502" s="5" t="n">
        <v>1003</v>
      </c>
      <c r="F1502" s="4" t="n">
        <v>0.7288135593220338</v>
      </c>
      <c r="G1502" s="4" t="n">
        <v>0.6668438647931522</v>
      </c>
      <c r="H1502" s="3" t="n">
        <v>14030186.67206399</v>
      </c>
      <c r="I1502" s="3" t="n">
        <v>-402495.9073766768</v>
      </c>
      <c r="J1502" s="4" t="n">
        <v>-0.0286878511871906</v>
      </c>
      <c r="K1502">
        <f>IF(AND(I1502&gt;0,J1502&gt;=Assumptions!$B$4),1,0)</f>
        <v/>
      </c>
      <c r="L1502" s="3">
        <f>I1502*K1502</f>
        <v/>
      </c>
      <c r="M1502">
        <f>SUM($K$2:K1502)</f>
        <v/>
      </c>
    </row>
    <row r="1503">
      <c r="A1503" t="inlineStr">
        <is>
          <t>360159</t>
        </is>
      </c>
      <c r="B1503" t="inlineStr">
        <is>
          <t>Adena Regional Medical Center</t>
        </is>
      </c>
      <c r="C1503" t="inlineStr">
        <is>
          <t>OH</t>
        </is>
      </c>
      <c r="D1503" t="inlineStr">
        <is>
          <t>Micropolitan</t>
        </is>
      </c>
      <c r="E1503" s="5" t="n">
        <v>1444</v>
      </c>
      <c r="F1503" s="4" t="n">
        <v>0.6814404432132964</v>
      </c>
      <c r="G1503" s="4" t="n">
        <v>0.6444289828119467</v>
      </c>
      <c r="H1503" s="3" t="n">
        <v>22095445.10698748</v>
      </c>
      <c r="I1503" s="3" t="n">
        <v>-403485.3734238222</v>
      </c>
      <c r="J1503" s="4" t="n">
        <v>-0.018261020380903</v>
      </c>
      <c r="K1503">
        <f>IF(AND(I1503&gt;0,J1503&gt;=Assumptions!$B$4),1,0)</f>
        <v/>
      </c>
      <c r="L1503" s="3">
        <f>I1503*K1503</f>
        <v/>
      </c>
      <c r="M1503">
        <f>SUM($K$2:K1503)</f>
        <v/>
      </c>
    </row>
    <row r="1504">
      <c r="A1504" t="inlineStr">
        <is>
          <t>180009</t>
        </is>
      </c>
      <c r="B1504" t="inlineStr">
        <is>
          <t>King's Daughters' Medical Center</t>
        </is>
      </c>
      <c r="C1504" t="inlineStr">
        <is>
          <t>KY</t>
        </is>
      </c>
      <c r="D1504" t="inlineStr">
        <is>
          <t>Metropolitan</t>
        </is>
      </c>
      <c r="E1504" s="5" t="n">
        <v>3128</v>
      </c>
      <c r="F1504" s="4" t="n">
        <v>0.6403452685421995</v>
      </c>
      <c r="G1504" s="4" t="n">
        <v>0.6065001170341131</v>
      </c>
      <c r="H1504" s="3" t="n">
        <v>50756532.86830471</v>
      </c>
      <c r="I1504" s="3" t="n">
        <v>-406537.3218326494</v>
      </c>
      <c r="J1504" s="4" t="n">
        <v>-0.008009556580380901</v>
      </c>
      <c r="K1504">
        <f>IF(AND(I1504&gt;0,J1504&gt;=Assumptions!$B$4),1,0)</f>
        <v/>
      </c>
      <c r="L1504" s="3">
        <f>I1504*K1504</f>
        <v/>
      </c>
      <c r="M1504">
        <f>SUM($K$2:K1504)</f>
        <v/>
      </c>
    </row>
    <row r="1505">
      <c r="A1505" t="inlineStr">
        <is>
          <t>240207</t>
        </is>
      </c>
      <c r="B1505" t="inlineStr">
        <is>
          <t>M Health Fairview Ridges Hospital</t>
        </is>
      </c>
      <c r="C1505" t="inlineStr">
        <is>
          <t>MN</t>
        </is>
      </c>
      <c r="D1505" t="inlineStr">
        <is>
          <t>Metropolitan</t>
        </is>
      </c>
      <c r="E1505" s="5" t="n">
        <v>1421</v>
      </c>
      <c r="F1505" s="4" t="n">
        <v>0.6382828993666432</v>
      </c>
      <c r="G1505" s="4" t="n">
        <v>0.6049682790941261</v>
      </c>
      <c r="H1505" s="3" t="n">
        <v>22063544.26944241</v>
      </c>
      <c r="I1505" s="3" t="n">
        <v>-408759.9469467104</v>
      </c>
      <c r="J1505" s="4" t="n">
        <v>-0.0185264861327305</v>
      </c>
      <c r="K1505">
        <f>IF(AND(I1505&gt;0,J1505&gt;=Assumptions!$B$4),1,0)</f>
        <v/>
      </c>
      <c r="L1505" s="3">
        <f>I1505*K1505</f>
        <v/>
      </c>
      <c r="M1505">
        <f>SUM($K$2:K1505)</f>
        <v/>
      </c>
    </row>
    <row r="1506">
      <c r="A1506" t="inlineStr">
        <is>
          <t>330103</t>
        </is>
      </c>
      <c r="B1506" t="inlineStr">
        <is>
          <t>Olean General Hospital</t>
        </is>
      </c>
      <c r="C1506" t="inlineStr">
        <is>
          <t>NY</t>
        </is>
      </c>
      <c r="D1506" t="inlineStr">
        <is>
          <t>Micropolitan</t>
        </is>
      </c>
      <c r="E1506" s="5" t="n">
        <v>849</v>
      </c>
      <c r="F1506" s="4" t="n">
        <v>0.7467608951707891</v>
      </c>
      <c r="G1506" s="4" t="n">
        <v>0.6686164210552065</v>
      </c>
      <c r="H1506" s="3" t="n">
        <v>11575116.99254641</v>
      </c>
      <c r="I1506" s="3" t="n">
        <v>-411652.2469817717</v>
      </c>
      <c r="J1506" s="4" t="n">
        <v>-0.0355635495733518</v>
      </c>
      <c r="K1506">
        <f>IF(AND(I1506&gt;0,J1506&gt;=Assumptions!$B$4),1,0)</f>
        <v/>
      </c>
      <c r="L1506" s="3">
        <f>I1506*K1506</f>
        <v/>
      </c>
      <c r="M1506">
        <f>SUM($K$2:K1506)</f>
        <v/>
      </c>
    </row>
    <row r="1507">
      <c r="A1507" t="inlineStr">
        <is>
          <t>490113</t>
        </is>
      </c>
      <c r="B1507" t="inlineStr">
        <is>
          <t>Sentara Northern Virginia Medical Center</t>
        </is>
      </c>
      <c r="C1507" t="inlineStr">
        <is>
          <t>VA</t>
        </is>
      </c>
      <c r="D1507" t="inlineStr">
        <is>
          <t>Metropolitan</t>
        </is>
      </c>
      <c r="E1507" s="5" t="n">
        <v>1684</v>
      </c>
      <c r="F1507" s="4" t="n">
        <v>0.663895486935867</v>
      </c>
      <c r="G1507" s="4" t="n">
        <v>0.6457893783127635</v>
      </c>
      <c r="H1507" s="3" t="n">
        <v>22819943.14190869</v>
      </c>
      <c r="I1507" s="3" t="n">
        <v>-412354.9624588676</v>
      </c>
      <c r="J1507" s="4" t="n">
        <v>-0.0180699382068827</v>
      </c>
      <c r="K1507">
        <f>IF(AND(I1507&gt;0,J1507&gt;=Assumptions!$B$4),1,0)</f>
        <v/>
      </c>
      <c r="L1507" s="3">
        <f>I1507*K1507</f>
        <v/>
      </c>
      <c r="M1507">
        <f>SUM($K$2:K1507)</f>
        <v/>
      </c>
    </row>
    <row r="1508">
      <c r="A1508" t="inlineStr">
        <is>
          <t>100189</t>
        </is>
      </c>
      <c r="B1508" t="inlineStr">
        <is>
          <t>Hca Florida Northwest Hospital</t>
        </is>
      </c>
      <c r="C1508" t="inlineStr">
        <is>
          <t>FL</t>
        </is>
      </c>
      <c r="D1508" t="inlineStr">
        <is>
          <t>Metropolitan</t>
        </is>
      </c>
      <c r="E1508" s="5" t="n">
        <v>1068</v>
      </c>
      <c r="F1508" s="4" t="n">
        <v>0.6573033707865169</v>
      </c>
      <c r="G1508" s="4" t="n">
        <v>0.6176156569363657</v>
      </c>
      <c r="H1508" s="3" t="n">
        <v>15898667.60596657</v>
      </c>
      <c r="I1508" s="3" t="n">
        <v>-412422.7753442898</v>
      </c>
      <c r="J1508" s="4" t="n">
        <v>-0.0259407131192247</v>
      </c>
      <c r="K1508">
        <f>IF(AND(I1508&gt;0,J1508&gt;=Assumptions!$B$4),1,0)</f>
        <v/>
      </c>
      <c r="L1508" s="3">
        <f>I1508*K1508</f>
        <v/>
      </c>
      <c r="M1508">
        <f>SUM($K$2:K1508)</f>
        <v/>
      </c>
    </row>
    <row r="1509">
      <c r="A1509" t="inlineStr">
        <is>
          <t>330153</t>
        </is>
      </c>
      <c r="B1509" t="inlineStr">
        <is>
          <t>Ellis Hospital</t>
        </is>
      </c>
      <c r="C1509" t="inlineStr">
        <is>
          <t>NY</t>
        </is>
      </c>
      <c r="D1509" t="inlineStr">
        <is>
          <t>Metropolitan</t>
        </is>
      </c>
      <c r="E1509" s="5" t="n">
        <v>1323</v>
      </c>
      <c r="F1509" s="4" t="n">
        <v>0.6893424036281179</v>
      </c>
      <c r="G1509" s="4" t="n">
        <v>0.6442097416662315</v>
      </c>
      <c r="H1509" s="3" t="n">
        <v>22823552.14893734</v>
      </c>
      <c r="I1509" s="3" t="n">
        <v>-413276.892754551</v>
      </c>
      <c r="J1509" s="4" t="n">
        <v>-0.0181074746848199</v>
      </c>
      <c r="K1509">
        <f>IF(AND(I1509&gt;0,J1509&gt;=Assumptions!$B$4),1,0)</f>
        <v/>
      </c>
      <c r="L1509" s="3">
        <f>I1509*K1509</f>
        <v/>
      </c>
      <c r="M1509">
        <f>SUM($K$2:K1509)</f>
        <v/>
      </c>
    </row>
    <row r="1510">
      <c r="A1510" t="inlineStr">
        <is>
          <t>140082</t>
        </is>
      </c>
      <c r="B1510" t="inlineStr">
        <is>
          <t>Louis A Weiss Memorial Hospital</t>
        </is>
      </c>
      <c r="C1510" t="inlineStr">
        <is>
          <t>IL</t>
        </is>
      </c>
      <c r="D1510" t="inlineStr">
        <is>
          <t>Metropolitan</t>
        </is>
      </c>
      <c r="E1510" s="5" t="n">
        <v>466</v>
      </c>
      <c r="F1510" s="4" t="n">
        <v>0.7896995708154506</v>
      </c>
      <c r="G1510" s="4" t="n">
        <v>0.6770033007159577</v>
      </c>
      <c r="H1510" s="3" t="n">
        <v>7242909.529178979</v>
      </c>
      <c r="I1510" s="3" t="n">
        <v>-415290.5889480598</v>
      </c>
      <c r="J1510" s="4" t="n">
        <v>-0.0573375364244174</v>
      </c>
      <c r="K1510">
        <f>IF(AND(I1510&gt;0,J1510&gt;=Assumptions!$B$4),1,0)</f>
        <v/>
      </c>
      <c r="L1510" s="3">
        <f>I1510*K1510</f>
        <v/>
      </c>
      <c r="M1510">
        <f>SUM($K$2:K1510)</f>
        <v/>
      </c>
    </row>
    <row r="1511">
      <c r="A1511" t="inlineStr">
        <is>
          <t>100053</t>
        </is>
      </c>
      <c r="B1511" t="inlineStr">
        <is>
          <t>Steward Hialeah Hospital</t>
        </is>
      </c>
      <c r="C1511" t="inlineStr">
        <is>
          <t>FL</t>
        </is>
      </c>
      <c r="D1511" t="inlineStr">
        <is>
          <t>Metropolitan</t>
        </is>
      </c>
      <c r="E1511" s="5" t="n">
        <v>394</v>
      </c>
      <c r="F1511" s="4" t="n">
        <v>0.8807106598984772</v>
      </c>
      <c r="G1511" s="4" t="n">
        <v>0.6791515768319802</v>
      </c>
      <c r="H1511" s="3" t="n">
        <v>4851686.926857485</v>
      </c>
      <c r="I1511" s="3" t="n">
        <v>-417118.7743169079</v>
      </c>
      <c r="J1511" s="4" t="n">
        <v>-0.08597396753031671</v>
      </c>
      <c r="K1511">
        <f>IF(AND(I1511&gt;0,J1511&gt;=Assumptions!$B$4),1,0)</f>
        <v/>
      </c>
      <c r="L1511" s="3">
        <f>I1511*K1511</f>
        <v/>
      </c>
      <c r="M1511">
        <f>SUM($K$2:K1511)</f>
        <v/>
      </c>
    </row>
    <row r="1512">
      <c r="A1512" t="inlineStr">
        <is>
          <t>500036</t>
        </is>
      </c>
      <c r="B1512" t="inlineStr">
        <is>
          <t>Yakima Valley Memorial</t>
        </is>
      </c>
      <c r="C1512" t="inlineStr">
        <is>
          <t>WA</t>
        </is>
      </c>
      <c r="D1512" t="inlineStr">
        <is>
          <t>Metropolitan</t>
        </is>
      </c>
      <c r="E1512" s="5" t="n">
        <v>1912</v>
      </c>
      <c r="F1512" s="4" t="n">
        <v>0.6307531380753139</v>
      </c>
      <c r="G1512" s="4" t="n">
        <v>0.5958610356703391</v>
      </c>
      <c r="H1512" s="3" t="n">
        <v>26072137.02465897</v>
      </c>
      <c r="I1512" s="3" t="n">
        <v>-423492.0904436894</v>
      </c>
      <c r="J1512" s="4" t="n">
        <v>-0.0162430908537781</v>
      </c>
      <c r="K1512">
        <f>IF(AND(I1512&gt;0,J1512&gt;=Assumptions!$B$4),1,0)</f>
        <v/>
      </c>
      <c r="L1512" s="3">
        <f>I1512*K1512</f>
        <v/>
      </c>
      <c r="M1512">
        <f>SUM($K$2:K1512)</f>
        <v/>
      </c>
    </row>
    <row r="1513">
      <c r="A1513" t="inlineStr">
        <is>
          <t>110007</t>
        </is>
      </c>
      <c r="B1513" t="inlineStr">
        <is>
          <t>Phoebe Putney Memorial Hospital</t>
        </is>
      </c>
      <c r="C1513" t="inlineStr">
        <is>
          <t>GA</t>
        </is>
      </c>
      <c r="D1513" t="inlineStr">
        <is>
          <t>Metropolitan</t>
        </is>
      </c>
      <c r="E1513" s="5" t="n">
        <v>1660</v>
      </c>
      <c r="F1513" s="4" t="n">
        <v>0.6246987951807229</v>
      </c>
      <c r="G1513" s="4" t="n">
        <v>0.5976986374959772</v>
      </c>
      <c r="H1513" s="3" t="n">
        <v>23673876.93572135</v>
      </c>
      <c r="I1513" s="3" t="n">
        <v>-423886.1730167121</v>
      </c>
      <c r="J1513" s="4" t="n">
        <v>-0.0179052283733516</v>
      </c>
      <c r="K1513">
        <f>IF(AND(I1513&gt;0,J1513&gt;=Assumptions!$B$4),1,0)</f>
        <v/>
      </c>
      <c r="L1513" s="3">
        <f>I1513*K1513</f>
        <v/>
      </c>
      <c r="M1513">
        <f>SUM($K$2:K1513)</f>
        <v/>
      </c>
    </row>
    <row r="1514">
      <c r="A1514" t="inlineStr">
        <is>
          <t>290054</t>
        </is>
      </c>
      <c r="B1514" t="inlineStr">
        <is>
          <t>Centennial Hills Hospital Medical Center</t>
        </is>
      </c>
      <c r="C1514" t="inlineStr">
        <is>
          <t>NV</t>
        </is>
      </c>
      <c r="D1514" t="inlineStr">
        <is>
          <t>Metropolitan</t>
        </is>
      </c>
      <c r="E1514" s="5" t="n">
        <v>1905</v>
      </c>
      <c r="F1514" s="4" t="n">
        <v>0.620997375328084</v>
      </c>
      <c r="G1514" s="4" t="n">
        <v>0.6079231173674876</v>
      </c>
      <c r="H1514" s="3" t="n">
        <v>26494462.2913371</v>
      </c>
      <c r="I1514" s="3" t="n">
        <v>-424054.2827143781</v>
      </c>
      <c r="J1514" s="4" t="n">
        <v>-0.0160053930535148</v>
      </c>
      <c r="K1514">
        <f>IF(AND(I1514&gt;0,J1514&gt;=Assumptions!$B$4),1,0)</f>
        <v/>
      </c>
      <c r="L1514" s="3">
        <f>I1514*K1514</f>
        <v/>
      </c>
      <c r="M1514">
        <f>SUM($K$2:K1514)</f>
        <v/>
      </c>
    </row>
    <row r="1515">
      <c r="A1515" t="inlineStr">
        <is>
          <t>500072</t>
        </is>
      </c>
      <c r="B1515" t="inlineStr">
        <is>
          <t>Olympic Medical Center</t>
        </is>
      </c>
      <c r="C1515" t="inlineStr">
        <is>
          <t>WA</t>
        </is>
      </c>
      <c r="D1515" t="inlineStr">
        <is>
          <t>Micropolitan</t>
        </is>
      </c>
      <c r="E1515" s="5" t="n">
        <v>837</v>
      </c>
      <c r="F1515" s="4" t="n">
        <v>0.7228195937873357</v>
      </c>
      <c r="G1515" s="4" t="n">
        <v>0.6629950907297311</v>
      </c>
      <c r="H1515" s="3" t="n">
        <v>12720499.71590433</v>
      </c>
      <c r="I1515" s="3" t="n">
        <v>-424080.5321008507</v>
      </c>
      <c r="J1515" s="4" t="n">
        <v>-0.0333383547480156</v>
      </c>
      <c r="K1515">
        <f>IF(AND(I1515&gt;0,J1515&gt;=Assumptions!$B$4),1,0)</f>
        <v/>
      </c>
      <c r="L1515" s="3">
        <f>I1515*K1515</f>
        <v/>
      </c>
      <c r="M1515">
        <f>SUM($K$2:K1515)</f>
        <v/>
      </c>
    </row>
    <row r="1516">
      <c r="A1516" t="inlineStr">
        <is>
          <t>030016</t>
        </is>
      </c>
      <c r="B1516" t="inlineStr">
        <is>
          <t>Banner Casa Grande Medical Center</t>
        </is>
      </c>
      <c r="C1516" t="inlineStr">
        <is>
          <t>AZ</t>
        </is>
      </c>
      <c r="D1516" t="inlineStr">
        <is>
          <t>Metropolitan</t>
        </is>
      </c>
      <c r="E1516" s="5" t="n">
        <v>700</v>
      </c>
      <c r="F1516" s="4" t="n">
        <v>0.8057142857142857</v>
      </c>
      <c r="G1516" s="4" t="n">
        <v>0.7178553088054913</v>
      </c>
      <c r="H1516" s="3" t="n">
        <v>9992123.682686787</v>
      </c>
      <c r="I1516" s="3" t="n">
        <v>-424675.8699424528</v>
      </c>
      <c r="J1516" s="4" t="n">
        <v>-0.0425010621794326</v>
      </c>
      <c r="K1516">
        <f>IF(AND(I1516&gt;0,J1516&gt;=Assumptions!$B$4),1,0)</f>
        <v/>
      </c>
      <c r="L1516" s="3">
        <f>I1516*K1516</f>
        <v/>
      </c>
      <c r="M1516">
        <f>SUM($K$2:K1516)</f>
        <v/>
      </c>
    </row>
    <row r="1517">
      <c r="A1517" t="inlineStr">
        <is>
          <t>310027</t>
        </is>
      </c>
      <c r="B1517" t="inlineStr">
        <is>
          <t>Trinitas Regional Medical Center</t>
        </is>
      </c>
      <c r="C1517" t="inlineStr">
        <is>
          <t>NJ</t>
        </is>
      </c>
      <c r="D1517" t="inlineStr">
        <is>
          <t>Metropolitan</t>
        </is>
      </c>
      <c r="E1517" s="5" t="n">
        <v>487</v>
      </c>
      <c r="F1517" s="4" t="n">
        <v>0.8151950718685832</v>
      </c>
      <c r="G1517" s="4" t="n">
        <v>0.7005534311476421</v>
      </c>
      <c r="H1517" s="3" t="n">
        <v>6930333.687873173</v>
      </c>
      <c r="I1517" s="3" t="n">
        <v>-425774.4940653741</v>
      </c>
      <c r="J1517" s="4" t="n">
        <v>-0.06143636269786</v>
      </c>
      <c r="K1517">
        <f>IF(AND(I1517&gt;0,J1517&gt;=Assumptions!$B$4),1,0)</f>
        <v/>
      </c>
      <c r="L1517" s="3">
        <f>I1517*K1517</f>
        <v/>
      </c>
      <c r="M1517">
        <f>SUM($K$2:K1517)</f>
        <v/>
      </c>
    </row>
    <row r="1518">
      <c r="A1518" t="inlineStr">
        <is>
          <t>050551</t>
        </is>
      </c>
      <c r="B1518" t="inlineStr">
        <is>
          <t>Uci Health – Los Alamitos</t>
        </is>
      </c>
      <c r="C1518" t="inlineStr">
        <is>
          <t>CA</t>
        </is>
      </c>
      <c r="D1518" t="inlineStr">
        <is>
          <t>Metropolitan</t>
        </is>
      </c>
      <c r="E1518" s="5" t="n">
        <v>1444</v>
      </c>
      <c r="F1518" s="4" t="n">
        <v>0.6385041551246537</v>
      </c>
      <c r="G1518" s="4" t="n">
        <v>0.6237393710284388</v>
      </c>
      <c r="H1518" s="3" t="n">
        <v>20896456.97045944</v>
      </c>
      <c r="I1518" s="3" t="n">
        <v>-426444.6422444843</v>
      </c>
      <c r="J1518" s="4" t="n">
        <v>-0.0204075094092426</v>
      </c>
      <c r="K1518">
        <f>IF(AND(I1518&gt;0,J1518&gt;=Assumptions!$B$4),1,0)</f>
        <v/>
      </c>
      <c r="L1518" s="3">
        <f>I1518*K1518</f>
        <v/>
      </c>
      <c r="M1518">
        <f>SUM($K$2:K1518)</f>
        <v/>
      </c>
    </row>
    <row r="1519">
      <c r="A1519" t="inlineStr">
        <is>
          <t>010023</t>
        </is>
      </c>
      <c r="B1519" t="inlineStr">
        <is>
          <t>Baptist Medical Center South</t>
        </is>
      </c>
      <c r="C1519" t="inlineStr">
        <is>
          <t>AL</t>
        </is>
      </c>
      <c r="D1519" t="inlineStr">
        <is>
          <t>Metropolitan</t>
        </is>
      </c>
      <c r="E1519" s="5" t="n">
        <v>1270</v>
      </c>
      <c r="F1519" s="4" t="n">
        <v>0.5755905511811024</v>
      </c>
      <c r="G1519" s="4" t="n">
        <v>0.5291435404661765</v>
      </c>
      <c r="H1519" s="3" t="n">
        <v>20488135.08464581</v>
      </c>
      <c r="I1519" s="3" t="n">
        <v>-426540.3347254768</v>
      </c>
      <c r="J1519" s="4" t="n">
        <v>-0.0208188950806525</v>
      </c>
      <c r="K1519">
        <f>IF(AND(I1519&gt;0,J1519&gt;=Assumptions!$B$4),1,0)</f>
        <v/>
      </c>
      <c r="L1519" s="3">
        <f>I1519*K1519</f>
        <v/>
      </c>
      <c r="M1519">
        <f>SUM($K$2:K1519)</f>
        <v/>
      </c>
    </row>
    <row r="1520">
      <c r="A1520" t="inlineStr">
        <is>
          <t>450200</t>
        </is>
      </c>
      <c r="B1520" t="inlineStr">
        <is>
          <t>Wadley Regional Medical Center</t>
        </is>
      </c>
      <c r="C1520" t="inlineStr">
        <is>
          <t>TX</t>
        </is>
      </c>
      <c r="D1520" t="inlineStr">
        <is>
          <t>Metropolitan</t>
        </is>
      </c>
      <c r="E1520" s="5" t="n">
        <v>565</v>
      </c>
      <c r="F1520" s="4" t="n">
        <v>0.7256637168141593</v>
      </c>
      <c r="G1520" s="4" t="n">
        <v>0.6518328515781878</v>
      </c>
      <c r="H1520" s="3" t="n">
        <v>7603598.146251976</v>
      </c>
      <c r="I1520" s="3" t="n">
        <v>-428036.4922794895</v>
      </c>
      <c r="J1520" s="4" t="n">
        <v>-0.0562939392701178</v>
      </c>
      <c r="K1520">
        <f>IF(AND(I1520&gt;0,J1520&gt;=Assumptions!$B$4),1,0)</f>
        <v/>
      </c>
      <c r="L1520" s="3">
        <f>I1520*K1520</f>
        <v/>
      </c>
      <c r="M1520">
        <f>SUM($K$2:K1520)</f>
        <v/>
      </c>
    </row>
    <row r="1521">
      <c r="A1521" t="inlineStr">
        <is>
          <t>670023</t>
        </is>
      </c>
      <c r="B1521" t="inlineStr">
        <is>
          <t>Methodist Mansfield Medical Center</t>
        </is>
      </c>
      <c r="C1521" t="inlineStr">
        <is>
          <t>TX</t>
        </is>
      </c>
      <c r="D1521" t="inlineStr">
        <is>
          <t>Metropolitan</t>
        </is>
      </c>
      <c r="E1521" s="5" t="n">
        <v>1476</v>
      </c>
      <c r="F1521" s="4" t="n">
        <v>0.6971544715447154</v>
      </c>
      <c r="G1521" s="4" t="n">
        <v>0.640303934406979</v>
      </c>
      <c r="H1521" s="3" t="n">
        <v>23534385.60156509</v>
      </c>
      <c r="I1521" s="3" t="n">
        <v>-429102.9571995139</v>
      </c>
      <c r="J1521" s="4" t="n">
        <v>-0.0182330214378308</v>
      </c>
      <c r="K1521">
        <f>IF(AND(I1521&gt;0,J1521&gt;=Assumptions!$B$4),1,0)</f>
        <v/>
      </c>
      <c r="L1521" s="3">
        <f>I1521*K1521</f>
        <v/>
      </c>
      <c r="M1521">
        <f>SUM($K$2:K1521)</f>
        <v/>
      </c>
    </row>
    <row r="1522">
      <c r="A1522" t="inlineStr">
        <is>
          <t>390063</t>
        </is>
      </c>
      <c r="B1522" t="inlineStr">
        <is>
          <t>Upmc Hamot</t>
        </is>
      </c>
      <c r="C1522" t="inlineStr">
        <is>
          <t>PA</t>
        </is>
      </c>
      <c r="D1522" t="inlineStr">
        <is>
          <t>Metropolitan</t>
        </is>
      </c>
      <c r="E1522" s="5" t="n">
        <v>2456</v>
      </c>
      <c r="F1522" s="4" t="n">
        <v>0.5203583061889251</v>
      </c>
      <c r="G1522" s="4" t="n">
        <v>0.5237154096133187</v>
      </c>
      <c r="H1522" s="3" t="n">
        <v>44388341.0610145</v>
      </c>
      <c r="I1522" s="3" t="n">
        <v>-431361.7844717875</v>
      </c>
      <c r="J1522" s="4" t="n">
        <v>-0.009717907318925301</v>
      </c>
      <c r="K1522">
        <f>IF(AND(I1522&gt;0,J1522&gt;=Assumptions!$B$4),1,0)</f>
        <v/>
      </c>
      <c r="L1522" s="3">
        <f>I1522*K1522</f>
        <v/>
      </c>
      <c r="M1522">
        <f>SUM($K$2:K1522)</f>
        <v/>
      </c>
    </row>
    <row r="1523">
      <c r="A1523" t="inlineStr">
        <is>
          <t>380090</t>
        </is>
      </c>
      <c r="B1523" t="inlineStr">
        <is>
          <t>Bay Area Hospital</t>
        </is>
      </c>
      <c r="C1523" t="inlineStr">
        <is>
          <t>OR</t>
        </is>
      </c>
      <c r="D1523" t="inlineStr">
        <is>
          <t>Micropolitan</t>
        </is>
      </c>
      <c r="E1523" s="5" t="n">
        <v>1284</v>
      </c>
      <c r="F1523" s="4" t="n">
        <v>0.6643302180685359</v>
      </c>
      <c r="G1523" s="4" t="n">
        <v>0.6212213246808441</v>
      </c>
      <c r="H1523" s="3" t="n">
        <v>17633239.15620066</v>
      </c>
      <c r="I1523" s="3" t="n">
        <v>-431684.6055539213</v>
      </c>
      <c r="J1523" s="4" t="n">
        <v>-0.0244812993080809</v>
      </c>
      <c r="K1523">
        <f>IF(AND(I1523&gt;0,J1523&gt;=Assumptions!$B$4),1,0)</f>
        <v/>
      </c>
      <c r="L1523" s="3">
        <f>I1523*K1523</f>
        <v/>
      </c>
      <c r="M1523">
        <f>SUM($K$2:K1523)</f>
        <v/>
      </c>
    </row>
    <row r="1524">
      <c r="A1524" t="inlineStr">
        <is>
          <t>030010</t>
        </is>
      </c>
      <c r="B1524" t="inlineStr">
        <is>
          <t>St. Mary's Hospital</t>
        </is>
      </c>
      <c r="C1524" t="inlineStr">
        <is>
          <t>AZ</t>
        </is>
      </c>
      <c r="D1524" t="inlineStr">
        <is>
          <t>Metropolitan</t>
        </is>
      </c>
      <c r="E1524" s="5" t="n">
        <v>699</v>
      </c>
      <c r="F1524" s="4" t="n">
        <v>0.6380543633762518</v>
      </c>
      <c r="G1524" s="4" t="n">
        <v>0.6016218168641133</v>
      </c>
      <c r="H1524" s="3" t="n">
        <v>12379933.34354189</v>
      </c>
      <c r="I1524" s="3" t="n">
        <v>-433308.2902971953</v>
      </c>
      <c r="J1524" s="4" t="n">
        <v>-0.0350008581042348</v>
      </c>
      <c r="K1524">
        <f>IF(AND(I1524&gt;0,J1524&gt;=Assumptions!$B$4),1,0)</f>
        <v/>
      </c>
      <c r="L1524" s="3">
        <f>I1524*K1524</f>
        <v/>
      </c>
      <c r="M1524">
        <f>SUM($K$2:K1524)</f>
        <v/>
      </c>
    </row>
    <row r="1525">
      <c r="A1525" t="inlineStr">
        <is>
          <t>670082</t>
        </is>
      </c>
      <c r="B1525" t="inlineStr">
        <is>
          <t>Baylor Scott And White  Medical Center  Mckinney</t>
        </is>
      </c>
      <c r="C1525" t="inlineStr">
        <is>
          <t>TX</t>
        </is>
      </c>
      <c r="D1525" t="inlineStr">
        <is>
          <t>Metropolitan</t>
        </is>
      </c>
      <c r="E1525" s="5" t="n">
        <v>2002</v>
      </c>
      <c r="F1525" s="4" t="n">
        <v>0.564935064935065</v>
      </c>
      <c r="G1525" s="4" t="n">
        <v>0.5476051305291849</v>
      </c>
      <c r="H1525" s="3" t="n">
        <v>28408129.30682286</v>
      </c>
      <c r="I1525" s="3" t="n">
        <v>-434015.668607939</v>
      </c>
      <c r="J1525" s="4" t="n">
        <v>-0.0152778686664067</v>
      </c>
      <c r="K1525">
        <f>IF(AND(I1525&gt;0,J1525&gt;=Assumptions!$B$4),1,0)</f>
        <v/>
      </c>
      <c r="L1525" s="3">
        <f>I1525*K1525</f>
        <v/>
      </c>
      <c r="M1525">
        <f>SUM($K$2:K1525)</f>
        <v/>
      </c>
    </row>
    <row r="1526">
      <c r="A1526" t="inlineStr">
        <is>
          <t>670047</t>
        </is>
      </c>
      <c r="B1526" t="inlineStr">
        <is>
          <t>The Hospitals Of Providence East Campus</t>
        </is>
      </c>
      <c r="C1526" t="inlineStr">
        <is>
          <t>TX</t>
        </is>
      </c>
      <c r="D1526" t="inlineStr">
        <is>
          <t>Metropolitan</t>
        </is>
      </c>
      <c r="E1526" s="5" t="n">
        <v>687</v>
      </c>
      <c r="F1526" s="4" t="n">
        <v>0.7365356622998545</v>
      </c>
      <c r="G1526" s="4" t="n">
        <v>0.6497338502080605</v>
      </c>
      <c r="H1526" s="3" t="n">
        <v>10737067.85719449</v>
      </c>
      <c r="I1526" s="3" t="n">
        <v>-434031.5160523504</v>
      </c>
      <c r="J1526" s="4" t="n">
        <v>-0.0404236540017322</v>
      </c>
      <c r="K1526">
        <f>IF(AND(I1526&gt;0,J1526&gt;=Assumptions!$B$4),1,0)</f>
        <v/>
      </c>
      <c r="L1526" s="3">
        <f>I1526*K1526</f>
        <v/>
      </c>
      <c r="M1526">
        <f>SUM($K$2:K1526)</f>
        <v/>
      </c>
    </row>
    <row r="1527">
      <c r="A1527" t="inlineStr">
        <is>
          <t>360076</t>
        </is>
      </c>
      <c r="B1527" t="inlineStr">
        <is>
          <t>Atrium Medical Center</t>
        </is>
      </c>
      <c r="C1527" t="inlineStr">
        <is>
          <t>OH</t>
        </is>
      </c>
      <c r="D1527" t="inlineStr">
        <is>
          <t>Metropolitan</t>
        </is>
      </c>
      <c r="E1527" s="5" t="n">
        <v>1105</v>
      </c>
      <c r="F1527" s="4" t="n">
        <v>0.5828054298642534</v>
      </c>
      <c r="G1527" s="4" t="n">
        <v>0.5571253721315859</v>
      </c>
      <c r="H1527" s="3" t="n">
        <v>15165248.11471912</v>
      </c>
      <c r="I1527" s="3" t="n">
        <v>-437803.970240837</v>
      </c>
      <c r="J1527" s="4" t="n">
        <v>-0.0288688959738095</v>
      </c>
      <c r="K1527">
        <f>IF(AND(I1527&gt;0,J1527&gt;=Assumptions!$B$4),1,0)</f>
        <v/>
      </c>
      <c r="L1527" s="3">
        <f>I1527*K1527</f>
        <v/>
      </c>
      <c r="M1527">
        <f>SUM($K$2:K1527)</f>
        <v/>
      </c>
    </row>
    <row r="1528">
      <c r="A1528" t="inlineStr">
        <is>
          <t>050228</t>
        </is>
      </c>
      <c r="B1528" t="inlineStr">
        <is>
          <t>Zuckerberg San Francisco General Hosp &amp; Trauma Ctr</t>
        </is>
      </c>
      <c r="C1528" t="inlineStr">
        <is>
          <t>CA</t>
        </is>
      </c>
      <c r="D1528" t="inlineStr">
        <is>
          <t>Metropolitan</t>
        </is>
      </c>
      <c r="E1528" s="5" t="n">
        <v>1446</v>
      </c>
      <c r="F1528" s="4" t="n">
        <v>0.5933609958506224</v>
      </c>
      <c r="G1528" s="4" t="n">
        <v>0.5864415867032625</v>
      </c>
      <c r="H1528" s="3" t="n">
        <v>20831221.13775441</v>
      </c>
      <c r="I1528" s="3" t="n">
        <v>-437810.9121645056</v>
      </c>
      <c r="J1528" s="4" t="n">
        <v>-0.0210170546061276</v>
      </c>
      <c r="K1528">
        <f>IF(AND(I1528&gt;0,J1528&gt;=Assumptions!$B$4),1,0)</f>
        <v/>
      </c>
      <c r="L1528" s="3">
        <f>I1528*K1528</f>
        <v/>
      </c>
      <c r="M1528">
        <f>SUM($K$2:K1528)</f>
        <v/>
      </c>
    </row>
    <row r="1529">
      <c r="A1529" t="inlineStr">
        <is>
          <t>150126</t>
        </is>
      </c>
      <c r="B1529" t="inlineStr">
        <is>
          <t>Franciscan Health Crown Point</t>
        </is>
      </c>
      <c r="C1529" t="inlineStr">
        <is>
          <t>IN</t>
        </is>
      </c>
      <c r="D1529" t="inlineStr">
        <is>
          <t>Metropolitan</t>
        </is>
      </c>
      <c r="E1529" s="5" t="n">
        <v>1927</v>
      </c>
      <c r="F1529" s="4" t="n">
        <v>0.6502335236118318</v>
      </c>
      <c r="G1529" s="4" t="n">
        <v>0.6090820043915078</v>
      </c>
      <c r="H1529" s="3" t="n">
        <v>29562327.40673756</v>
      </c>
      <c r="I1529" s="3" t="n">
        <v>-438855.0885782838</v>
      </c>
      <c r="J1529" s="4" t="n">
        <v>-0.0148450790947624</v>
      </c>
      <c r="K1529">
        <f>IF(AND(I1529&gt;0,J1529&gt;=Assumptions!$B$4),1,0)</f>
        <v/>
      </c>
      <c r="L1529" s="3">
        <f>I1529*K1529</f>
        <v/>
      </c>
      <c r="M1529">
        <f>SUM($K$2:K1529)</f>
        <v/>
      </c>
    </row>
    <row r="1530">
      <c r="A1530" t="inlineStr">
        <is>
          <t>180102</t>
        </is>
      </c>
      <c r="B1530" t="inlineStr">
        <is>
          <t>Mercy Health Lourdes Hospital</t>
        </is>
      </c>
      <c r="C1530" t="inlineStr">
        <is>
          <t>KY</t>
        </is>
      </c>
      <c r="D1530" t="inlineStr">
        <is>
          <t>Micropolitan</t>
        </is>
      </c>
      <c r="E1530" s="5" t="n">
        <v>1530</v>
      </c>
      <c r="F1530" s="4" t="n">
        <v>0.5666666666666667</v>
      </c>
      <c r="G1530" s="4" t="n">
        <v>0.5703931928944592</v>
      </c>
      <c r="H1530" s="3" t="n">
        <v>20965676.5506318</v>
      </c>
      <c r="I1530" s="3" t="n">
        <v>-439667.8804081455</v>
      </c>
      <c r="J1530" s="4" t="n">
        <v>-0.0209708415250208</v>
      </c>
      <c r="K1530">
        <f>IF(AND(I1530&gt;0,J1530&gt;=Assumptions!$B$4),1,0)</f>
        <v/>
      </c>
      <c r="L1530" s="3">
        <f>I1530*K1530</f>
        <v/>
      </c>
      <c r="M1530">
        <f>SUM($K$2:K1530)</f>
        <v/>
      </c>
    </row>
    <row r="1531">
      <c r="A1531" t="inlineStr">
        <is>
          <t>110031</t>
        </is>
      </c>
      <c r="B1531" t="inlineStr">
        <is>
          <t>Wellstar Spalding Medical Center</t>
        </is>
      </c>
      <c r="C1531" t="inlineStr">
        <is>
          <t>GA</t>
        </is>
      </c>
      <c r="D1531" t="inlineStr">
        <is>
          <t>Metropolitan</t>
        </is>
      </c>
      <c r="E1531" s="5" t="n">
        <v>725</v>
      </c>
      <c r="F1531" s="4" t="n">
        <v>0.7931034482758621</v>
      </c>
      <c r="G1531" s="4" t="n">
        <v>0.6925485874363008</v>
      </c>
      <c r="H1531" s="3" t="n">
        <v>9755636.435352296</v>
      </c>
      <c r="I1531" s="3" t="n">
        <v>-440239.7035243176</v>
      </c>
      <c r="J1531" s="4" t="n">
        <v>-0.0451267025418234</v>
      </c>
      <c r="K1531">
        <f>IF(AND(I1531&gt;0,J1531&gt;=Assumptions!$B$4),1,0)</f>
        <v/>
      </c>
      <c r="L1531" s="3">
        <f>I1531*K1531</f>
        <v/>
      </c>
      <c r="M1531">
        <f>SUM($K$2:K1531)</f>
        <v/>
      </c>
    </row>
    <row r="1532">
      <c r="A1532" t="inlineStr">
        <is>
          <t>450097</t>
        </is>
      </c>
      <c r="B1532" t="inlineStr">
        <is>
          <t>Hca Houston Healthcare Southeast</t>
        </is>
      </c>
      <c r="C1532" t="inlineStr">
        <is>
          <t>TX</t>
        </is>
      </c>
      <c r="D1532" t="inlineStr">
        <is>
          <t>Metropolitan</t>
        </is>
      </c>
      <c r="E1532" s="5" t="n">
        <v>500</v>
      </c>
      <c r="F1532" s="4" t="n">
        <v>0.798</v>
      </c>
      <c r="G1532" s="4" t="n">
        <v>0.7029650984124329</v>
      </c>
      <c r="H1532" s="3" t="n">
        <v>7686823.706330668</v>
      </c>
      <c r="I1532" s="3" t="n">
        <v>-440960.0041022049</v>
      </c>
      <c r="J1532" s="4" t="n">
        <v>-0.0573656975818297</v>
      </c>
      <c r="K1532">
        <f>IF(AND(I1532&gt;0,J1532&gt;=Assumptions!$B$4),1,0)</f>
        <v/>
      </c>
      <c r="L1532" s="3">
        <f>I1532*K1532</f>
        <v/>
      </c>
      <c r="M1532">
        <f>SUM($K$2:K1532)</f>
        <v/>
      </c>
    </row>
    <row r="1533">
      <c r="A1533" t="inlineStr">
        <is>
          <t>100288</t>
        </is>
      </c>
      <c r="B1533" t="inlineStr">
        <is>
          <t>St Mary's Medical Center</t>
        </is>
      </c>
      <c r="C1533" t="inlineStr">
        <is>
          <t>FL</t>
        </is>
      </c>
      <c r="D1533" t="inlineStr">
        <is>
          <t>Metropolitan</t>
        </is>
      </c>
      <c r="E1533" s="5" t="n">
        <v>760</v>
      </c>
      <c r="F1533" s="4" t="n">
        <v>0.5565789473684211</v>
      </c>
      <c r="G1533" s="4" t="n">
        <v>0.4897559145494996</v>
      </c>
      <c r="H1533" s="3" t="n">
        <v>13112607.18417615</v>
      </c>
      <c r="I1533" s="3" t="n">
        <v>-443818.8757933416</v>
      </c>
      <c r="J1533" s="4" t="n">
        <v>-0.0338467300636388</v>
      </c>
      <c r="K1533">
        <f>IF(AND(I1533&gt;0,J1533&gt;=Assumptions!$B$4),1,0)</f>
        <v/>
      </c>
      <c r="L1533" s="3">
        <f>I1533*K1533</f>
        <v/>
      </c>
      <c r="M1533">
        <f>SUM($K$2:K1533)</f>
        <v/>
      </c>
    </row>
    <row r="1534">
      <c r="A1534" t="inlineStr">
        <is>
          <t>370026</t>
        </is>
      </c>
      <c r="B1534" t="inlineStr">
        <is>
          <t>St Mary's Regional Medical Center</t>
        </is>
      </c>
      <c r="C1534" t="inlineStr">
        <is>
          <t>OK</t>
        </is>
      </c>
      <c r="D1534" t="inlineStr">
        <is>
          <t>Micropolitan</t>
        </is>
      </c>
      <c r="E1534" s="5" t="n">
        <v>594</v>
      </c>
      <c r="F1534" s="4" t="n">
        <v>0.7205387205387206</v>
      </c>
      <c r="G1534" s="4" t="n">
        <v>0.6410931342407916</v>
      </c>
      <c r="H1534" s="3" t="n">
        <v>8349748.836691701</v>
      </c>
      <c r="I1534" s="3" t="n">
        <v>-447360.0128722927</v>
      </c>
      <c r="J1534" s="4" t="n">
        <v>-0.0535776610317231</v>
      </c>
      <c r="K1534">
        <f>IF(AND(I1534&gt;0,J1534&gt;=Assumptions!$B$4),1,0)</f>
        <v/>
      </c>
      <c r="L1534" s="3">
        <f>I1534*K1534</f>
        <v/>
      </c>
      <c r="M1534">
        <f>SUM($K$2:K1534)</f>
        <v/>
      </c>
    </row>
    <row r="1535">
      <c r="A1535" t="inlineStr">
        <is>
          <t>100204</t>
        </is>
      </c>
      <c r="B1535" t="inlineStr">
        <is>
          <t>Hca Florida North Florida Hospital</t>
        </is>
      </c>
      <c r="C1535" t="inlineStr">
        <is>
          <t>FL</t>
        </is>
      </c>
      <c r="D1535" t="inlineStr">
        <is>
          <t>Metropolitan</t>
        </is>
      </c>
      <c r="E1535" s="5" t="n">
        <v>6602</v>
      </c>
      <c r="F1535" s="4" t="n">
        <v>0.5065131778249016</v>
      </c>
      <c r="G1535" s="4" t="n">
        <v>0.5016345248602495</v>
      </c>
      <c r="H1535" s="3" t="n">
        <v>107737566.0168855</v>
      </c>
      <c r="I1535" s="3" t="n">
        <v>-447837.9802176803</v>
      </c>
      <c r="J1535" s="4" t="n">
        <v>-0.0041567486325753</v>
      </c>
      <c r="K1535">
        <f>IF(AND(I1535&gt;0,J1535&gt;=Assumptions!$B$4),1,0)</f>
        <v/>
      </c>
      <c r="L1535" s="3">
        <f>I1535*K1535</f>
        <v/>
      </c>
      <c r="M1535">
        <f>SUM($K$2:K1535)</f>
        <v/>
      </c>
    </row>
    <row r="1536">
      <c r="A1536" t="inlineStr">
        <is>
          <t>210062</t>
        </is>
      </c>
      <c r="B1536" t="inlineStr">
        <is>
          <t>Medstar Southern Maryland Hospital Center</t>
        </is>
      </c>
      <c r="C1536" t="inlineStr">
        <is>
          <t>MD</t>
        </is>
      </c>
      <c r="D1536" t="inlineStr">
        <is>
          <t>Metropolitan</t>
        </is>
      </c>
      <c r="E1536" s="5" t="n">
        <v>2227</v>
      </c>
      <c r="F1536" s="4" t="n">
        <v>0.6695105523125281</v>
      </c>
      <c r="G1536" s="4" t="n">
        <v>0.6486658677378698</v>
      </c>
      <c r="H1536" s="3" t="n">
        <v>32853698.31115948</v>
      </c>
      <c r="I1536" s="3" t="n">
        <v>-449099.1339736618</v>
      </c>
      <c r="J1536" s="4" t="n">
        <v>-0.0136696675582826</v>
      </c>
      <c r="K1536">
        <f>IF(AND(I1536&gt;0,J1536&gt;=Assumptions!$B$4),1,0)</f>
        <v/>
      </c>
      <c r="L1536" s="3">
        <f>I1536*K1536</f>
        <v/>
      </c>
      <c r="M1536">
        <f>SUM($K$2:K1536)</f>
        <v/>
      </c>
    </row>
    <row r="1537">
      <c r="A1537" t="inlineStr">
        <is>
          <t>100072</t>
        </is>
      </c>
      <c r="B1537" t="inlineStr">
        <is>
          <t>Adventhealth Fish Memorial</t>
        </is>
      </c>
      <c r="C1537" t="inlineStr">
        <is>
          <t>FL</t>
        </is>
      </c>
      <c r="D1537" t="inlineStr">
        <is>
          <t>Metropolitan</t>
        </is>
      </c>
      <c r="E1537" s="5" t="n">
        <v>1583</v>
      </c>
      <c r="F1537" s="4" t="n">
        <v>0.7233101705622236</v>
      </c>
      <c r="G1537" s="4" t="n">
        <v>0.6686845697558546</v>
      </c>
      <c r="H1537" s="3" t="n">
        <v>22990346.39286952</v>
      </c>
      <c r="I1537" s="3" t="n">
        <v>-449637.0936030783</v>
      </c>
      <c r="J1537" s="4" t="n">
        <v>-0.0195576476282468</v>
      </c>
      <c r="K1537">
        <f>IF(AND(I1537&gt;0,J1537&gt;=Assumptions!$B$4),1,0)</f>
        <v/>
      </c>
      <c r="L1537" s="3">
        <f>I1537*K1537</f>
        <v/>
      </c>
      <c r="M1537">
        <f>SUM($K$2:K1537)</f>
        <v/>
      </c>
    </row>
    <row r="1538">
      <c r="A1538" t="inlineStr">
        <is>
          <t>490093</t>
        </is>
      </c>
      <c r="B1538" t="inlineStr">
        <is>
          <t>Sentara Careplex Hospital</t>
        </is>
      </c>
      <c r="C1538" t="inlineStr">
        <is>
          <t>VA</t>
        </is>
      </c>
      <c r="D1538" t="inlineStr">
        <is>
          <t>Metropolitan</t>
        </is>
      </c>
      <c r="E1538" s="5" t="n">
        <v>1343</v>
      </c>
      <c r="F1538" s="4" t="n">
        <v>0.7617274758004468</v>
      </c>
      <c r="G1538" s="4" t="n">
        <v>0.692372128978489</v>
      </c>
      <c r="H1538" s="3" t="n">
        <v>20433698.97951808</v>
      </c>
      <c r="I1538" s="3" t="n">
        <v>-451128.2348765358</v>
      </c>
      <c r="J1538" s="4" t="n">
        <v>-0.0220776588384084</v>
      </c>
      <c r="K1538">
        <f>IF(AND(I1538&gt;0,J1538&gt;=Assumptions!$B$4),1,0)</f>
        <v/>
      </c>
      <c r="L1538" s="3">
        <f>I1538*K1538</f>
        <v/>
      </c>
      <c r="M1538">
        <f>SUM($K$2:K1538)</f>
        <v/>
      </c>
    </row>
    <row r="1539">
      <c r="A1539" t="inlineStr">
        <is>
          <t>120026</t>
        </is>
      </c>
      <c r="B1539" t="inlineStr">
        <is>
          <t>Pali Momi Medical Center</t>
        </is>
      </c>
      <c r="C1539" t="inlineStr">
        <is>
          <t>HI</t>
        </is>
      </c>
      <c r="D1539" t="inlineStr">
        <is>
          <t>Metropolitan</t>
        </is>
      </c>
      <c r="E1539" s="5" t="n">
        <v>908</v>
      </c>
      <c r="F1539" s="4" t="n">
        <v>0.6850220264317181</v>
      </c>
      <c r="G1539" s="4" t="n">
        <v>0.6273979710201683</v>
      </c>
      <c r="H1539" s="3" t="n">
        <v>12906205.46521158</v>
      </c>
      <c r="I1539" s="3" t="n">
        <v>-451377.7516309582</v>
      </c>
      <c r="J1539" s="4" t="n">
        <v>-0.0349736995004176</v>
      </c>
      <c r="K1539">
        <f>IF(AND(I1539&gt;0,J1539&gt;=Assumptions!$B$4),1,0)</f>
        <v/>
      </c>
      <c r="L1539" s="3">
        <f>I1539*K1539</f>
        <v/>
      </c>
      <c r="M1539">
        <f>SUM($K$2:K1539)</f>
        <v/>
      </c>
    </row>
    <row r="1540">
      <c r="A1540" t="inlineStr">
        <is>
          <t>360059</t>
        </is>
      </c>
      <c r="B1540" t="inlineStr">
        <is>
          <t>Metrohealth System</t>
        </is>
      </c>
      <c r="C1540" t="inlineStr">
        <is>
          <t>OH</t>
        </is>
      </c>
      <c r="D1540" t="inlineStr">
        <is>
          <t>Metropolitan</t>
        </is>
      </c>
      <c r="E1540" s="5" t="n">
        <v>1080</v>
      </c>
      <c r="F1540" s="4" t="n">
        <v>0.6287037037037037</v>
      </c>
      <c r="G1540" s="4" t="n">
        <v>0.5828142423671899</v>
      </c>
      <c r="H1540" s="3" t="n">
        <v>16278097.71762831</v>
      </c>
      <c r="I1540" s="3" t="n">
        <v>-451387.9640166424</v>
      </c>
      <c r="J1540" s="4" t="n">
        <v>-0.0277297735796126</v>
      </c>
      <c r="K1540">
        <f>IF(AND(I1540&gt;0,J1540&gt;=Assumptions!$B$4),1,0)</f>
        <v/>
      </c>
      <c r="L1540" s="3">
        <f>I1540*K1540</f>
        <v/>
      </c>
      <c r="M1540">
        <f>SUM($K$2:K1540)</f>
        <v/>
      </c>
    </row>
    <row r="1541">
      <c r="A1541" t="inlineStr">
        <is>
          <t>100109</t>
        </is>
      </c>
      <c r="B1541" t="inlineStr">
        <is>
          <t>Adventhealth Sebring</t>
        </is>
      </c>
      <c r="C1541" t="inlineStr">
        <is>
          <t>FL</t>
        </is>
      </c>
      <c r="D1541" t="inlineStr">
        <is>
          <t>Metropolitan</t>
        </is>
      </c>
      <c r="E1541" s="5" t="n">
        <v>2298</v>
      </c>
      <c r="F1541" s="4" t="n">
        <v>0.6744995648389904</v>
      </c>
      <c r="G1541" s="4" t="n">
        <v>0.6442513046022118</v>
      </c>
      <c r="H1541" s="3" t="n">
        <v>32991276.78185228</v>
      </c>
      <c r="I1541" s="3" t="n">
        <v>-451917.7967255786</v>
      </c>
      <c r="J1541" s="4" t="n">
        <v>-0.0136980996435448</v>
      </c>
      <c r="K1541">
        <f>IF(AND(I1541&gt;0,J1541&gt;=Assumptions!$B$4),1,0)</f>
        <v/>
      </c>
      <c r="L1541" s="3">
        <f>I1541*K1541</f>
        <v/>
      </c>
      <c r="M1541">
        <f>SUM($K$2:K1541)</f>
        <v/>
      </c>
    </row>
    <row r="1542">
      <c r="A1542" t="inlineStr">
        <is>
          <t>100046</t>
        </is>
      </c>
      <c r="B1542" t="inlineStr">
        <is>
          <t>Adventhealth Zephyrhills</t>
        </is>
      </c>
      <c r="C1542" t="inlineStr">
        <is>
          <t>FL</t>
        </is>
      </c>
      <c r="D1542" t="inlineStr">
        <is>
          <t>Metropolitan</t>
        </is>
      </c>
      <c r="E1542" s="5" t="n">
        <v>1463</v>
      </c>
      <c r="F1542" s="4" t="n">
        <v>0.6138072453861928</v>
      </c>
      <c r="G1542" s="4" t="n">
        <v>0.5948086113025159</v>
      </c>
      <c r="H1542" s="3" t="n">
        <v>20195418.15497451</v>
      </c>
      <c r="I1542" s="3" t="n">
        <v>-453659.8578670621</v>
      </c>
      <c r="J1542" s="4" t="n">
        <v>-0.0224635040673974</v>
      </c>
      <c r="K1542">
        <f>IF(AND(I1542&gt;0,J1542&gt;=Assumptions!$B$4),1,0)</f>
        <v/>
      </c>
      <c r="L1542" s="3">
        <f>I1542*K1542</f>
        <v/>
      </c>
      <c r="M1542">
        <f>SUM($K$2:K1542)</f>
        <v/>
      </c>
    </row>
    <row r="1543">
      <c r="A1543" t="inlineStr">
        <is>
          <t>050516</t>
        </is>
      </c>
      <c r="B1543" t="inlineStr">
        <is>
          <t>Mercy San Juan Medical Center</t>
        </is>
      </c>
      <c r="C1543" t="inlineStr">
        <is>
          <t>CA</t>
        </is>
      </c>
      <c r="D1543" t="inlineStr">
        <is>
          <t>Metropolitan</t>
        </is>
      </c>
      <c r="E1543" s="5" t="n">
        <v>2973</v>
      </c>
      <c r="F1543" s="4" t="n">
        <v>0.6202489068281197</v>
      </c>
      <c r="G1543" s="4" t="n">
        <v>0.5917828679235915</v>
      </c>
      <c r="H1543" s="3" t="n">
        <v>45315725.84068966</v>
      </c>
      <c r="I1543" s="3" t="n">
        <v>-454314.2540753782</v>
      </c>
      <c r="J1543" s="4" t="n">
        <v>-0.0100255318798721</v>
      </c>
      <c r="K1543">
        <f>IF(AND(I1543&gt;0,J1543&gt;=Assumptions!$B$4),1,0)</f>
        <v/>
      </c>
      <c r="L1543" s="3">
        <f>I1543*K1543</f>
        <v/>
      </c>
      <c r="M1543">
        <f>SUM($K$2:K1543)</f>
        <v/>
      </c>
    </row>
    <row r="1544">
      <c r="A1544" t="inlineStr">
        <is>
          <t>110125</t>
        </is>
      </c>
      <c r="B1544" t="inlineStr">
        <is>
          <t>Fairview Park Hospital</t>
        </is>
      </c>
      <c r="C1544" t="inlineStr">
        <is>
          <t>GA</t>
        </is>
      </c>
      <c r="D1544" t="inlineStr">
        <is>
          <t>Micropolitan</t>
        </is>
      </c>
      <c r="E1544" s="5" t="n">
        <v>843</v>
      </c>
      <c r="F1544" s="4" t="n">
        <v>0.7295373665480427</v>
      </c>
      <c r="G1544" s="4" t="n">
        <v>0.6303709205078537</v>
      </c>
      <c r="H1544" s="3" t="n">
        <v>10283615.94056345</v>
      </c>
      <c r="I1544" s="3" t="n">
        <v>-454382.1827813946</v>
      </c>
      <c r="J1544" s="4" t="n">
        <v>-0.0441850595556662</v>
      </c>
      <c r="K1544">
        <f>IF(AND(I1544&gt;0,J1544&gt;=Assumptions!$B$4),1,0)</f>
        <v/>
      </c>
      <c r="L1544" s="3">
        <f>I1544*K1544</f>
        <v/>
      </c>
      <c r="M1544">
        <f>SUM($K$2:K1544)</f>
        <v/>
      </c>
    </row>
    <row r="1545">
      <c r="A1545" t="inlineStr">
        <is>
          <t>670103</t>
        </is>
      </c>
      <c r="B1545" t="inlineStr">
        <is>
          <t>Medical City Alliance</t>
        </is>
      </c>
      <c r="C1545" t="inlineStr">
        <is>
          <t>TX</t>
        </is>
      </c>
      <c r="D1545" t="inlineStr">
        <is>
          <t>Metropolitan</t>
        </is>
      </c>
      <c r="E1545" s="5" t="n">
        <v>410</v>
      </c>
      <c r="F1545" s="4" t="n">
        <v>0.8048780487804879</v>
      </c>
      <c r="G1545" s="4" t="n">
        <v>0.6834651442772937</v>
      </c>
      <c r="H1545" s="3" t="n">
        <v>5730914.493990639</v>
      </c>
      <c r="I1545" s="3" t="n">
        <v>-454796.1965173679</v>
      </c>
      <c r="J1545" s="4" t="n">
        <v>-0.07935839855825121</v>
      </c>
      <c r="K1545">
        <f>IF(AND(I1545&gt;0,J1545&gt;=Assumptions!$B$4),1,0)</f>
        <v/>
      </c>
      <c r="L1545" s="3">
        <f>I1545*K1545</f>
        <v/>
      </c>
      <c r="M1545">
        <f>SUM($K$2:K1545)</f>
        <v/>
      </c>
    </row>
    <row r="1546">
      <c r="A1546" t="inlineStr">
        <is>
          <t>120002</t>
        </is>
      </c>
      <c r="B1546" t="inlineStr">
        <is>
          <t>Maui Memorial Medical Center</t>
        </is>
      </c>
      <c r="C1546" t="inlineStr">
        <is>
          <t>HI</t>
        </is>
      </c>
      <c r="D1546" t="inlineStr">
        <is>
          <t>Metropolitan</t>
        </is>
      </c>
      <c r="E1546" s="5" t="n">
        <v>613</v>
      </c>
      <c r="F1546" s="4" t="n">
        <v>0.7292006525285482</v>
      </c>
      <c r="G1546" s="4" t="n">
        <v>0.6622937833281124</v>
      </c>
      <c r="H1546" s="3" t="n">
        <v>9018935.107971439</v>
      </c>
      <c r="I1546" s="3" t="n">
        <v>-455391.9189714771</v>
      </c>
      <c r="J1546" s="4" t="n">
        <v>-0.0504928701137871</v>
      </c>
      <c r="K1546">
        <f>IF(AND(I1546&gt;0,J1546&gt;=Assumptions!$B$4),1,0)</f>
        <v/>
      </c>
      <c r="L1546" s="3">
        <f>I1546*K1546</f>
        <v/>
      </c>
      <c r="M1546">
        <f>SUM($K$2:K1546)</f>
        <v/>
      </c>
    </row>
    <row r="1547">
      <c r="A1547" t="inlineStr">
        <is>
          <t>230104</t>
        </is>
      </c>
      <c r="B1547" t="inlineStr">
        <is>
          <t>Harper University Hospital</t>
        </is>
      </c>
      <c r="C1547" t="inlineStr">
        <is>
          <t>MI</t>
        </is>
      </c>
      <c r="D1547" t="inlineStr">
        <is>
          <t>Metropolitan</t>
        </is>
      </c>
      <c r="E1547" s="5" t="n">
        <v>413</v>
      </c>
      <c r="F1547" s="4" t="n">
        <v>0.7772397094430993</v>
      </c>
      <c r="G1547" s="4" t="n">
        <v>0.6163547759139127</v>
      </c>
      <c r="H1547" s="3" t="n">
        <v>5761668.641498463</v>
      </c>
      <c r="I1547" s="3" t="n">
        <v>-456341.5175164146</v>
      </c>
      <c r="J1547" s="4" t="n">
        <v>-0.0792030132086408</v>
      </c>
      <c r="K1547">
        <f>IF(AND(I1547&gt;0,J1547&gt;=Assumptions!$B$4),1,0)</f>
        <v/>
      </c>
      <c r="L1547" s="3">
        <f>I1547*K1547</f>
        <v/>
      </c>
      <c r="M1547">
        <f>SUM($K$2:K1547)</f>
        <v/>
      </c>
    </row>
    <row r="1548">
      <c r="A1548" t="inlineStr">
        <is>
          <t>050103</t>
        </is>
      </c>
      <c r="B1548" t="inlineStr">
        <is>
          <t>Adventist Health White Memorial</t>
        </is>
      </c>
      <c r="C1548" t="inlineStr">
        <is>
          <t>CA</t>
        </is>
      </c>
      <c r="D1548" t="inlineStr">
        <is>
          <t>Metropolitan</t>
        </is>
      </c>
      <c r="E1548" s="5" t="n">
        <v>737</v>
      </c>
      <c r="F1548" s="4" t="n">
        <v>0.757123473541384</v>
      </c>
      <c r="G1548" s="4" t="n">
        <v>0.6954667259026915</v>
      </c>
      <c r="H1548" s="3" t="n">
        <v>11508102.94214766</v>
      </c>
      <c r="I1548" s="3" t="n">
        <v>-456432.0807889793</v>
      </c>
      <c r="J1548" s="4" t="n">
        <v>-0.0396618003057069</v>
      </c>
      <c r="K1548">
        <f>IF(AND(I1548&gt;0,J1548&gt;=Assumptions!$B$4),1,0)</f>
        <v/>
      </c>
      <c r="L1548" s="3">
        <f>I1548*K1548</f>
        <v/>
      </c>
      <c r="M1548">
        <f>SUM($K$2:K1548)</f>
        <v/>
      </c>
    </row>
    <row r="1549">
      <c r="A1549" t="inlineStr">
        <is>
          <t>390090</t>
        </is>
      </c>
      <c r="B1549" t="inlineStr">
        <is>
          <t>West Penn Hospital</t>
        </is>
      </c>
      <c r="C1549" t="inlineStr">
        <is>
          <t>PA</t>
        </is>
      </c>
      <c r="D1549" t="inlineStr">
        <is>
          <t>Metropolitan</t>
        </is>
      </c>
      <c r="E1549" s="5" t="n">
        <v>319</v>
      </c>
      <c r="F1549" s="4" t="n">
        <v>0.6206896551724138</v>
      </c>
      <c r="G1549" s="4" t="n">
        <v>0.5740684251520419</v>
      </c>
      <c r="H1549" s="3" t="n">
        <v>7437787.508756229</v>
      </c>
      <c r="I1549" s="3" t="n">
        <v>-456715.8998404108</v>
      </c>
      <c r="J1549" s="4" t="n">
        <v>-0.0614048061070225</v>
      </c>
      <c r="K1549">
        <f>IF(AND(I1549&gt;0,J1549&gt;=Assumptions!$B$4),1,0)</f>
        <v/>
      </c>
      <c r="L1549" s="3">
        <f>I1549*K1549</f>
        <v/>
      </c>
      <c r="M1549">
        <f>SUM($K$2:K1549)</f>
        <v/>
      </c>
    </row>
    <row r="1550">
      <c r="A1550" t="inlineStr">
        <is>
          <t>450639</t>
        </is>
      </c>
      <c r="B1550" t="inlineStr">
        <is>
          <t>Texas Health Heb</t>
        </is>
      </c>
      <c r="C1550" t="inlineStr">
        <is>
          <t>TX</t>
        </is>
      </c>
      <c r="D1550" t="inlineStr">
        <is>
          <t>Metropolitan</t>
        </is>
      </c>
      <c r="E1550" s="5" t="n">
        <v>1416</v>
      </c>
      <c r="F1550" s="4" t="n">
        <v>0.6348870056497176</v>
      </c>
      <c r="G1550" s="4" t="n">
        <v>0.6175693315260739</v>
      </c>
      <c r="H1550" s="3" t="n">
        <v>19351419.12389642</v>
      </c>
      <c r="I1550" s="3" t="n">
        <v>-459005.7726601027</v>
      </c>
      <c r="J1550" s="4" t="n">
        <v>-0.0237194889801798</v>
      </c>
      <c r="K1550">
        <f>IF(AND(I1550&gt;0,J1550&gt;=Assumptions!$B$4),1,0)</f>
        <v/>
      </c>
      <c r="L1550" s="3">
        <f>I1550*K1550</f>
        <v/>
      </c>
      <c r="M1550">
        <f>SUM($K$2:K1550)</f>
        <v/>
      </c>
    </row>
    <row r="1551">
      <c r="A1551" t="inlineStr">
        <is>
          <t>050581</t>
        </is>
      </c>
      <c r="B1551" t="inlineStr">
        <is>
          <t>Lakewood Regional Medical Center</t>
        </is>
      </c>
      <c r="C1551" t="inlineStr">
        <is>
          <t>CA</t>
        </is>
      </c>
      <c r="D1551" t="inlineStr">
        <is>
          <t>Metropolitan</t>
        </is>
      </c>
      <c r="E1551" s="5" t="n">
        <v>898</v>
      </c>
      <c r="F1551" s="4" t="n">
        <v>0.7427616926503341</v>
      </c>
      <c r="G1551" s="4" t="n">
        <v>0.6820629506570079</v>
      </c>
      <c r="H1551" s="3" t="n">
        <v>12550170.5835488</v>
      </c>
      <c r="I1551" s="3" t="n">
        <v>-459799.2474825922</v>
      </c>
      <c r="J1551" s="4" t="n">
        <v>-0.0366368922574895</v>
      </c>
      <c r="K1551">
        <f>IF(AND(I1551&gt;0,J1551&gt;=Assumptions!$B$4),1,0)</f>
        <v/>
      </c>
      <c r="L1551" s="3">
        <f>I1551*K1551</f>
        <v/>
      </c>
      <c r="M1551">
        <f>SUM($K$2:K1551)</f>
        <v/>
      </c>
    </row>
    <row r="1552">
      <c r="A1552" t="inlineStr">
        <is>
          <t>050468</t>
        </is>
      </c>
      <c r="B1552" t="inlineStr">
        <is>
          <t>Memorial Hospital Of Gardena</t>
        </is>
      </c>
      <c r="C1552" t="inlineStr">
        <is>
          <t>CA</t>
        </is>
      </c>
      <c r="D1552" t="inlineStr">
        <is>
          <t>Metropolitan</t>
        </is>
      </c>
      <c r="E1552" s="5" t="n">
        <v>659</v>
      </c>
      <c r="F1552" s="4" t="n">
        <v>0.8270106221547799</v>
      </c>
      <c r="G1552" s="4" t="n">
        <v>0.7278208372135444</v>
      </c>
      <c r="H1552" s="3" t="n">
        <v>9263929.989907045</v>
      </c>
      <c r="I1552" s="3" t="n">
        <v>-460628.1968767066</v>
      </c>
      <c r="J1552" s="4" t="n">
        <v>-0.0497227631662324</v>
      </c>
      <c r="K1552">
        <f>IF(AND(I1552&gt;0,J1552&gt;=Assumptions!$B$4),1,0)</f>
        <v/>
      </c>
      <c r="L1552" s="3">
        <f>I1552*K1552</f>
        <v/>
      </c>
      <c r="M1552">
        <f>SUM($K$2:K1552)</f>
        <v/>
      </c>
    </row>
    <row r="1553">
      <c r="A1553" t="inlineStr">
        <is>
          <t>260091</t>
        </is>
      </c>
      <c r="B1553" t="inlineStr">
        <is>
          <t>Ssm Health St Mary's Hospital - St Louis</t>
        </is>
      </c>
      <c r="C1553" t="inlineStr">
        <is>
          <t>MO</t>
        </is>
      </c>
      <c r="D1553" t="inlineStr">
        <is>
          <t>Metropolitan</t>
        </is>
      </c>
      <c r="E1553" s="5" t="n">
        <v>1020</v>
      </c>
      <c r="F1553" s="4" t="n">
        <v>0.6441176470588236</v>
      </c>
      <c r="G1553" s="4" t="n">
        <v>0.598617151959805</v>
      </c>
      <c r="H1553" s="3" t="n">
        <v>13828484.51688708</v>
      </c>
      <c r="I1553" s="3" t="n">
        <v>-463323.6308790874</v>
      </c>
      <c r="J1553" s="4" t="n">
        <v>-0.0335050185950084</v>
      </c>
      <c r="K1553">
        <f>IF(AND(I1553&gt;0,J1553&gt;=Assumptions!$B$4),1,0)</f>
        <v/>
      </c>
      <c r="L1553" s="3">
        <f>I1553*K1553</f>
        <v/>
      </c>
      <c r="M1553">
        <f>SUM($K$2:K1553)</f>
        <v/>
      </c>
    </row>
    <row r="1554">
      <c r="A1554" t="inlineStr">
        <is>
          <t>130002</t>
        </is>
      </c>
      <c r="B1554" t="inlineStr">
        <is>
          <t>St Luke's Magic Valley Rmc</t>
        </is>
      </c>
      <c r="C1554" t="inlineStr">
        <is>
          <t>ID</t>
        </is>
      </c>
      <c r="D1554" t="inlineStr">
        <is>
          <t>Micropolitan</t>
        </is>
      </c>
      <c r="E1554" s="5" t="n">
        <v>993</v>
      </c>
      <c r="F1554" s="4" t="n">
        <v>0.7150050352467271</v>
      </c>
      <c r="G1554" s="4" t="n">
        <v>0.6636084164159297</v>
      </c>
      <c r="H1554" s="3" t="n">
        <v>14248749.92297284</v>
      </c>
      <c r="I1554" s="3" t="n">
        <v>-463999.1407880113</v>
      </c>
      <c r="J1554" s="4" t="n">
        <v>-0.0325641998979797</v>
      </c>
      <c r="K1554">
        <f>IF(AND(I1554&gt;0,J1554&gt;=Assumptions!$B$4),1,0)</f>
        <v/>
      </c>
      <c r="L1554" s="3">
        <f>I1554*K1554</f>
        <v/>
      </c>
      <c r="M1554">
        <f>SUM($K$2:K1554)</f>
        <v/>
      </c>
    </row>
    <row r="1555">
      <c r="A1555" t="inlineStr">
        <is>
          <t>230273</t>
        </is>
      </c>
      <c r="B1555" t="inlineStr">
        <is>
          <t>Detroit Receiving Hospital &amp; Univ Health Center</t>
        </is>
      </c>
      <c r="C1555" t="inlineStr">
        <is>
          <t>MI</t>
        </is>
      </c>
      <c r="D1555" t="inlineStr">
        <is>
          <t>Metropolitan</t>
        </is>
      </c>
      <c r="E1555" s="5" t="n">
        <v>612</v>
      </c>
      <c r="F1555" s="4" t="n">
        <v>0.7745098039215687</v>
      </c>
      <c r="G1555" s="4" t="n">
        <v>0.67854787535084</v>
      </c>
      <c r="H1555" s="3" t="n">
        <v>9767731.363068508</v>
      </c>
      <c r="I1555" s="3" t="n">
        <v>-464409.188039979</v>
      </c>
      <c r="J1555" s="4" t="n">
        <v>-0.0475452457462022</v>
      </c>
      <c r="K1555">
        <f>IF(AND(I1555&gt;0,J1555&gt;=Assumptions!$B$4),1,0)</f>
        <v/>
      </c>
      <c r="L1555" s="3">
        <f>I1555*K1555</f>
        <v/>
      </c>
      <c r="M1555">
        <f>SUM($K$2:K1555)</f>
        <v/>
      </c>
    </row>
    <row r="1556">
      <c r="A1556" t="inlineStr">
        <is>
          <t>050158</t>
        </is>
      </c>
      <c r="B1556" t="inlineStr">
        <is>
          <t>Encino Hospital Medical Center</t>
        </is>
      </c>
      <c r="C1556" t="inlineStr">
        <is>
          <t>CA</t>
        </is>
      </c>
      <c r="D1556" t="inlineStr">
        <is>
          <t>Metropolitan</t>
        </is>
      </c>
      <c r="E1556" s="5" t="n">
        <v>401</v>
      </c>
      <c r="F1556" s="4" t="n">
        <v>0.9002493765586035</v>
      </c>
      <c r="G1556" s="4" t="n">
        <v>0.7080827175873956</v>
      </c>
      <c r="H1556" s="3" t="n">
        <v>5600149.346985177</v>
      </c>
      <c r="I1556" s="3" t="n">
        <v>-466562.7118783798</v>
      </c>
      <c r="J1556" s="4" t="n">
        <v>-0.08331254810723079</v>
      </c>
      <c r="K1556">
        <f>IF(AND(I1556&gt;0,J1556&gt;=Assumptions!$B$4),1,0)</f>
        <v/>
      </c>
      <c r="L1556" s="3">
        <f>I1556*K1556</f>
        <v/>
      </c>
      <c r="M1556">
        <f>SUM($K$2:K1556)</f>
        <v/>
      </c>
    </row>
    <row r="1557">
      <c r="A1557" t="inlineStr">
        <is>
          <t>280061</t>
        </is>
      </c>
      <c r="B1557" t="inlineStr">
        <is>
          <t>Regional West Medical Center</t>
        </is>
      </c>
      <c r="C1557" t="inlineStr">
        <is>
          <t>NE</t>
        </is>
      </c>
      <c r="D1557" t="inlineStr">
        <is>
          <t>Micropolitan</t>
        </is>
      </c>
      <c r="E1557" s="5" t="n">
        <v>757</v>
      </c>
      <c r="F1557" s="4" t="n">
        <v>0.6591809775429326</v>
      </c>
      <c r="G1557" s="4" t="n">
        <v>0.5684149834527403</v>
      </c>
      <c r="H1557" s="3" t="n">
        <v>10422312.4596839</v>
      </c>
      <c r="I1557" s="3" t="n">
        <v>-467603.8684873618</v>
      </c>
      <c r="J1557" s="4" t="n">
        <v>-0.0448656543637671</v>
      </c>
      <c r="K1557">
        <f>IF(AND(I1557&gt;0,J1557&gt;=Assumptions!$B$4),1,0)</f>
        <v/>
      </c>
      <c r="L1557" s="3">
        <f>I1557*K1557</f>
        <v/>
      </c>
      <c r="M1557">
        <f>SUM($K$2:K1557)</f>
        <v/>
      </c>
    </row>
    <row r="1558">
      <c r="A1558" t="inlineStr">
        <is>
          <t>360012</t>
        </is>
      </c>
      <c r="B1558" t="inlineStr">
        <is>
          <t>Mount Carmel St Ann's</t>
        </is>
      </c>
      <c r="C1558" t="inlineStr">
        <is>
          <t>OH</t>
        </is>
      </c>
      <c r="D1558" t="inlineStr">
        <is>
          <t>Metropolitan</t>
        </is>
      </c>
      <c r="E1558" s="5" t="n">
        <v>1253</v>
      </c>
      <c r="F1558" s="4" t="n">
        <v>0.6145251396648045</v>
      </c>
      <c r="G1558" s="4" t="n">
        <v>0.5785967631555526</v>
      </c>
      <c r="H1558" s="3" t="n">
        <v>18679187.94418219</v>
      </c>
      <c r="I1558" s="3" t="n">
        <v>-468378.026769653</v>
      </c>
      <c r="J1558" s="4" t="n">
        <v>-0.025074860222472</v>
      </c>
      <c r="K1558">
        <f>IF(AND(I1558&gt;0,J1558&gt;=Assumptions!$B$4),1,0)</f>
        <v/>
      </c>
      <c r="L1558" s="3">
        <f>I1558*K1558</f>
        <v/>
      </c>
      <c r="M1558">
        <f>SUM($K$2:K1558)</f>
        <v/>
      </c>
    </row>
    <row r="1559">
      <c r="A1559" t="inlineStr">
        <is>
          <t>050701</t>
        </is>
      </c>
      <c r="B1559" t="inlineStr">
        <is>
          <t>Southwest Healthcare Rancho Springs Hospital</t>
        </is>
      </c>
      <c r="C1559" t="inlineStr">
        <is>
          <t>CA</t>
        </is>
      </c>
      <c r="D1559" t="inlineStr">
        <is>
          <t>Metropolitan</t>
        </is>
      </c>
      <c r="E1559" s="5" t="n">
        <v>1028</v>
      </c>
      <c r="F1559" s="4" t="n">
        <v>0.6682879377431906</v>
      </c>
      <c r="G1559" s="4" t="n">
        <v>0.5911539090825207</v>
      </c>
      <c r="H1559" s="3" t="n">
        <v>13668710.64725039</v>
      </c>
      <c r="I1559" s="3" t="n">
        <v>-470055.0255695488</v>
      </c>
      <c r="J1559" s="4" t="n">
        <v>-0.0343891269411065</v>
      </c>
      <c r="K1559">
        <f>IF(AND(I1559&gt;0,J1559&gt;=Assumptions!$B$4),1,0)</f>
        <v/>
      </c>
      <c r="L1559" s="3">
        <f>I1559*K1559</f>
        <v/>
      </c>
      <c r="M1559">
        <f>SUM($K$2:K1559)</f>
        <v/>
      </c>
    </row>
    <row r="1560">
      <c r="A1560" t="inlineStr">
        <is>
          <t>140084</t>
        </is>
      </c>
      <c r="B1560" t="inlineStr">
        <is>
          <t>Vista Medical Center East</t>
        </is>
      </c>
      <c r="C1560" t="inlineStr">
        <is>
          <t>IL</t>
        </is>
      </c>
      <c r="D1560" t="inlineStr">
        <is>
          <t>Metropolitan</t>
        </is>
      </c>
      <c r="E1560" s="5" t="n">
        <v>757</v>
      </c>
      <c r="F1560" s="4" t="n">
        <v>0.7371202113606341</v>
      </c>
      <c r="G1560" s="4" t="n">
        <v>0.6592534101420872</v>
      </c>
      <c r="H1560" s="3" t="n">
        <v>9928851.392150182</v>
      </c>
      <c r="I1560" s="3" t="n">
        <v>-470390.227137005</v>
      </c>
      <c r="J1560" s="4" t="n">
        <v>-0.047376097048738</v>
      </c>
      <c r="K1560">
        <f>IF(AND(I1560&gt;0,J1560&gt;=Assumptions!$B$4),1,0)</f>
        <v/>
      </c>
      <c r="L1560" s="3">
        <f>I1560*K1560</f>
        <v/>
      </c>
      <c r="M1560">
        <f>SUM($K$2:K1560)</f>
        <v/>
      </c>
    </row>
    <row r="1561">
      <c r="A1561" t="inlineStr">
        <is>
          <t>670098</t>
        </is>
      </c>
      <c r="B1561" t="inlineStr">
        <is>
          <t>Resolute Health Hospital</t>
        </is>
      </c>
      <c r="C1561" t="inlineStr">
        <is>
          <t>TX</t>
        </is>
      </c>
      <c r="D1561" t="inlineStr">
        <is>
          <t>Metropolitan</t>
        </is>
      </c>
      <c r="E1561" s="5" t="n">
        <v>482</v>
      </c>
      <c r="F1561" s="4" t="n">
        <v>0.8402489626556017</v>
      </c>
      <c r="G1561" s="4" t="n">
        <v>0.723856715609574</v>
      </c>
      <c r="H1561" s="3" t="n">
        <v>7291064.199222167</v>
      </c>
      <c r="I1561" s="3" t="n">
        <v>-472427.5979826022</v>
      </c>
      <c r="J1561" s="4" t="n">
        <v>-0.0647954242445159</v>
      </c>
      <c r="K1561">
        <f>IF(AND(I1561&gt;0,J1561&gt;=Assumptions!$B$4),1,0)</f>
        <v/>
      </c>
      <c r="L1561" s="3">
        <f>I1561*K1561</f>
        <v/>
      </c>
      <c r="M1561">
        <f>SUM($K$2:K1561)</f>
        <v/>
      </c>
    </row>
    <row r="1562">
      <c r="A1562" t="inlineStr">
        <is>
          <t>100093</t>
        </is>
      </c>
      <c r="B1562" t="inlineStr">
        <is>
          <t>Baptist Hospital</t>
        </is>
      </c>
      <c r="C1562" t="inlineStr">
        <is>
          <t>FL</t>
        </is>
      </c>
      <c r="D1562" t="inlineStr">
        <is>
          <t>Metropolitan</t>
        </is>
      </c>
      <c r="E1562" s="5" t="n">
        <v>2777</v>
      </c>
      <c r="F1562" s="4" t="n">
        <v>0.5423118473172488</v>
      </c>
      <c r="G1562" s="4" t="n">
        <v>0.5157543685914761</v>
      </c>
      <c r="H1562" s="3" t="n">
        <v>54434099.81970867</v>
      </c>
      <c r="I1562" s="3" t="n">
        <v>-474536.068280369</v>
      </c>
      <c r="J1562" s="4" t="n">
        <v>-0.008717624978682101</v>
      </c>
      <c r="K1562">
        <f>IF(AND(I1562&gt;0,J1562&gt;=Assumptions!$B$4),1,0)</f>
        <v/>
      </c>
      <c r="L1562" s="3">
        <f>I1562*K1562</f>
        <v/>
      </c>
      <c r="M1562">
        <f>SUM($K$2:K1562)</f>
        <v/>
      </c>
    </row>
    <row r="1563">
      <c r="A1563" t="inlineStr">
        <is>
          <t>310039</t>
        </is>
      </c>
      <c r="B1563" t="inlineStr">
        <is>
          <t>Raritan Bay Medical Center</t>
        </is>
      </c>
      <c r="C1563" t="inlineStr">
        <is>
          <t>NJ</t>
        </is>
      </c>
      <c r="D1563" t="inlineStr">
        <is>
          <t>Metropolitan</t>
        </is>
      </c>
      <c r="E1563" s="5" t="n">
        <v>2027</v>
      </c>
      <c r="F1563" s="4" t="n">
        <v>0.6378885051800691</v>
      </c>
      <c r="G1563" s="4" t="n">
        <v>0.6210265269070223</v>
      </c>
      <c r="H1563" s="3" t="n">
        <v>26530732.48581203</v>
      </c>
      <c r="I1563" s="3" t="n">
        <v>-476254.5194198936</v>
      </c>
      <c r="J1563" s="4" t="n">
        <v>-0.0179510505288379</v>
      </c>
      <c r="K1563">
        <f>IF(AND(I1563&gt;0,J1563&gt;=Assumptions!$B$4),1,0)</f>
        <v/>
      </c>
      <c r="L1563" s="3">
        <f>I1563*K1563</f>
        <v/>
      </c>
      <c r="M1563">
        <f>SUM($K$2:K1563)</f>
        <v/>
      </c>
    </row>
    <row r="1564">
      <c r="A1564" t="inlineStr">
        <is>
          <t>310051</t>
        </is>
      </c>
      <c r="B1564" t="inlineStr">
        <is>
          <t>Overlook Medical Center</t>
        </is>
      </c>
      <c r="C1564" t="inlineStr">
        <is>
          <t>NJ</t>
        </is>
      </c>
      <c r="D1564" t="inlineStr">
        <is>
          <t>Metropolitan</t>
        </is>
      </c>
      <c r="E1564" s="5" t="n">
        <v>4154</v>
      </c>
      <c r="F1564" s="4" t="n">
        <v>0.5902744342802119</v>
      </c>
      <c r="G1564" s="4" t="n">
        <v>0.5806492821343707</v>
      </c>
      <c r="H1564" s="3" t="n">
        <v>63207485.4051456</v>
      </c>
      <c r="I1564" s="3" t="n">
        <v>-476577.0880545452</v>
      </c>
      <c r="J1564" s="4" t="n">
        <v>-0.0075398836862405</v>
      </c>
      <c r="K1564">
        <f>IF(AND(I1564&gt;0,J1564&gt;=Assumptions!$B$4),1,0)</f>
        <v/>
      </c>
      <c r="L1564" s="3">
        <f>I1564*K1564</f>
        <v/>
      </c>
      <c r="M1564">
        <f>SUM($K$2:K1564)</f>
        <v/>
      </c>
    </row>
    <row r="1565">
      <c r="A1565" t="inlineStr">
        <is>
          <t>340028</t>
        </is>
      </c>
      <c r="B1565" t="inlineStr">
        <is>
          <t>Cape Fear Valley Medical Center</t>
        </is>
      </c>
      <c r="C1565" t="inlineStr">
        <is>
          <t>NC</t>
        </is>
      </c>
      <c r="D1565" t="inlineStr">
        <is>
          <t>Metropolitan</t>
        </is>
      </c>
      <c r="E1565" s="5" t="n">
        <v>3819</v>
      </c>
      <c r="F1565" s="4" t="n">
        <v>0.5833987954962032</v>
      </c>
      <c r="G1565" s="4" t="n">
        <v>0.5818526413647639</v>
      </c>
      <c r="H1565" s="3" t="n">
        <v>56468921.23878649</v>
      </c>
      <c r="I1565" s="3" t="n">
        <v>-476952.3755033165</v>
      </c>
      <c r="J1565" s="4" t="n">
        <v>-0.0084462809814704</v>
      </c>
      <c r="K1565">
        <f>IF(AND(I1565&gt;0,J1565&gt;=Assumptions!$B$4),1,0)</f>
        <v/>
      </c>
      <c r="L1565" s="3">
        <f>I1565*K1565</f>
        <v/>
      </c>
      <c r="M1565">
        <f>SUM($K$2:K1565)</f>
        <v/>
      </c>
    </row>
    <row r="1566">
      <c r="A1566" t="inlineStr">
        <is>
          <t>450688</t>
        </is>
      </c>
      <c r="B1566" t="inlineStr">
        <is>
          <t>Dallas Regional Medical Center</t>
        </is>
      </c>
      <c r="C1566" t="inlineStr">
        <is>
          <t>TX</t>
        </is>
      </c>
      <c r="D1566" t="inlineStr">
        <is>
          <t>Metropolitan</t>
        </is>
      </c>
      <c r="E1566" s="5" t="n">
        <v>591</v>
      </c>
      <c r="F1566" s="4" t="n">
        <v>0.8477157360406091</v>
      </c>
      <c r="G1566" s="4" t="n">
        <v>0.7270933860306248</v>
      </c>
      <c r="H1566" s="3" t="n">
        <v>8193160.794811274</v>
      </c>
      <c r="I1566" s="3" t="n">
        <v>-476959.4962205524</v>
      </c>
      <c r="J1566" s="4" t="n">
        <v>-0.0582143458630289</v>
      </c>
      <c r="K1566">
        <f>IF(AND(I1566&gt;0,J1566&gt;=Assumptions!$B$4),1,0)</f>
        <v/>
      </c>
      <c r="L1566" s="3">
        <f>I1566*K1566</f>
        <v/>
      </c>
      <c r="M1566">
        <f>SUM($K$2:K1566)</f>
        <v/>
      </c>
    </row>
    <row r="1567">
      <c r="A1567" t="inlineStr">
        <is>
          <t>050222</t>
        </is>
      </c>
      <c r="B1567" t="inlineStr">
        <is>
          <t>Sharp Chula Vista Medical Center</t>
        </is>
      </c>
      <c r="C1567" t="inlineStr">
        <is>
          <t>CA</t>
        </is>
      </c>
      <c r="D1567" t="inlineStr">
        <is>
          <t>Metropolitan</t>
        </is>
      </c>
      <c r="E1567" s="5" t="n">
        <v>2084</v>
      </c>
      <c r="F1567" s="4" t="n">
        <v>0.6079654510556622</v>
      </c>
      <c r="G1567" s="4" t="n">
        <v>0.6075622261088794</v>
      </c>
      <c r="H1567" s="3" t="n">
        <v>31201814.26132388</v>
      </c>
      <c r="I1567" s="3" t="n">
        <v>-478567.2125466242</v>
      </c>
      <c r="J1567" s="4" t="n">
        <v>-0.0153378008258907</v>
      </c>
      <c r="K1567">
        <f>IF(AND(I1567&gt;0,J1567&gt;=Assumptions!$B$4),1,0)</f>
        <v/>
      </c>
      <c r="L1567" s="3">
        <f>I1567*K1567</f>
        <v/>
      </c>
      <c r="M1567">
        <f>SUM($K$2:K1567)</f>
        <v/>
      </c>
    </row>
    <row r="1568">
      <c r="A1568" t="inlineStr">
        <is>
          <t>360211</t>
        </is>
      </c>
      <c r="B1568" t="inlineStr">
        <is>
          <t>Trinity Medical Ctr East &amp;trinity Medical Ctr West</t>
        </is>
      </c>
      <c r="C1568" t="inlineStr">
        <is>
          <t>OH</t>
        </is>
      </c>
      <c r="D1568" t="inlineStr">
        <is>
          <t>Metropolitan</t>
        </is>
      </c>
      <c r="E1568" s="5" t="n">
        <v>866</v>
      </c>
      <c r="F1568" s="4" t="n">
        <v>0.7401847575057737</v>
      </c>
      <c r="G1568" s="4" t="n">
        <v>0.6725402004148117</v>
      </c>
      <c r="H1568" s="3" t="n">
        <v>13270508.23375321</v>
      </c>
      <c r="I1568" s="3" t="n">
        <v>-479574.8777769637</v>
      </c>
      <c r="J1568" s="4" t="n">
        <v>-0.0361383957064415</v>
      </c>
      <c r="K1568">
        <f>IF(AND(I1568&gt;0,J1568&gt;=Assumptions!$B$4),1,0)</f>
        <v/>
      </c>
      <c r="L1568" s="3">
        <f>I1568*K1568</f>
        <v/>
      </c>
      <c r="M1568">
        <f>SUM($K$2:K1568)</f>
        <v/>
      </c>
    </row>
    <row r="1569">
      <c r="A1569" t="inlineStr">
        <is>
          <t>110177</t>
        </is>
      </c>
      <c r="B1569" t="inlineStr">
        <is>
          <t>Doctors Hospital</t>
        </is>
      </c>
      <c r="C1569" t="inlineStr">
        <is>
          <t>GA</t>
        </is>
      </c>
      <c r="D1569" t="inlineStr">
        <is>
          <t>Metropolitan</t>
        </is>
      </c>
      <c r="E1569" s="5" t="n">
        <v>1350</v>
      </c>
      <c r="F1569" s="4" t="n">
        <v>0.6888888888888889</v>
      </c>
      <c r="G1569" s="4" t="n">
        <v>0.6055395916947715</v>
      </c>
      <c r="H1569" s="3" t="n">
        <v>24611824.00261873</v>
      </c>
      <c r="I1569" s="3" t="n">
        <v>-481699.2228202075</v>
      </c>
      <c r="J1569" s="4" t="n">
        <v>-0.0195718619948263</v>
      </c>
      <c r="K1569">
        <f>IF(AND(I1569&gt;0,J1569&gt;=Assumptions!$B$4),1,0)</f>
        <v/>
      </c>
      <c r="L1569" s="3">
        <f>I1569*K1569</f>
        <v/>
      </c>
      <c r="M1569">
        <f>SUM($K$2:K1569)</f>
        <v/>
      </c>
    </row>
    <row r="1570">
      <c r="A1570" t="inlineStr">
        <is>
          <t>330104</t>
        </is>
      </c>
      <c r="B1570" t="inlineStr">
        <is>
          <t>Nyack Hospital</t>
        </is>
      </c>
      <c r="C1570" t="inlineStr">
        <is>
          <t>NY</t>
        </is>
      </c>
      <c r="D1570" t="inlineStr">
        <is>
          <t>Metropolitan</t>
        </is>
      </c>
      <c r="E1570" s="5" t="n">
        <v>2062</v>
      </c>
      <c r="F1570" s="4" t="n">
        <v>0.6668283220174588</v>
      </c>
      <c r="G1570" s="4" t="n">
        <v>0.6297233391993373</v>
      </c>
      <c r="H1570" s="3" t="n">
        <v>28165855.56977127</v>
      </c>
      <c r="I1570" s="3" t="n">
        <v>-481707.5241301097</v>
      </c>
      <c r="J1570" s="4" t="n">
        <v>-0.0171025347672057</v>
      </c>
      <c r="K1570">
        <f>IF(AND(I1570&gt;0,J1570&gt;=Assumptions!$B$4),1,0)</f>
        <v/>
      </c>
      <c r="L1570" s="3">
        <f>I1570*K1570</f>
        <v/>
      </c>
      <c r="M1570">
        <f>SUM($K$2:K1570)</f>
        <v/>
      </c>
    </row>
    <row r="1571">
      <c r="A1571" t="inlineStr">
        <is>
          <t>360155</t>
        </is>
      </c>
      <c r="B1571" t="inlineStr">
        <is>
          <t>Southwest General Health Center</t>
        </is>
      </c>
      <c r="C1571" t="inlineStr">
        <is>
          <t>OH</t>
        </is>
      </c>
      <c r="D1571" t="inlineStr">
        <is>
          <t>Metropolitan</t>
        </is>
      </c>
      <c r="E1571" s="5" t="n">
        <v>2393</v>
      </c>
      <c r="F1571" s="4" t="n">
        <v>0.5971583786042625</v>
      </c>
      <c r="G1571" s="4" t="n">
        <v>0.571567613268175</v>
      </c>
      <c r="H1571" s="3" t="n">
        <v>34639314.73979348</v>
      </c>
      <c r="I1571" s="3" t="n">
        <v>-482422.8006393909</v>
      </c>
      <c r="J1571" s="4" t="n">
        <v>-0.0139270307239994</v>
      </c>
      <c r="K1571">
        <f>IF(AND(I1571&gt;0,J1571&gt;=Assumptions!$B$4),1,0)</f>
        <v/>
      </c>
      <c r="L1571" s="3">
        <f>I1571*K1571</f>
        <v/>
      </c>
      <c r="M1571">
        <f>SUM($K$2:K1571)</f>
        <v/>
      </c>
    </row>
    <row r="1572">
      <c r="A1572" t="inlineStr">
        <is>
          <t>050236</t>
        </is>
      </c>
      <c r="B1572" t="inlineStr">
        <is>
          <t>Adventist Health Simi Valley</t>
        </is>
      </c>
      <c r="C1572" t="inlineStr">
        <is>
          <t>CA</t>
        </is>
      </c>
      <c r="D1572" t="inlineStr">
        <is>
          <t>Metropolitan</t>
        </is>
      </c>
      <c r="E1572" s="5" t="n">
        <v>1484</v>
      </c>
      <c r="F1572" s="4" t="n">
        <v>0.7183288409703504</v>
      </c>
      <c r="G1572" s="4" t="n">
        <v>0.665994630142471</v>
      </c>
      <c r="H1572" s="3" t="n">
        <v>20620903.18232801</v>
      </c>
      <c r="I1572" s="3" t="n">
        <v>-482543.408272244</v>
      </c>
      <c r="J1572" s="4" t="n">
        <v>-0.0234006922008043</v>
      </c>
      <c r="K1572">
        <f>IF(AND(I1572&gt;0,J1572&gt;=Assumptions!$B$4),1,0)</f>
        <v/>
      </c>
      <c r="L1572" s="3">
        <f>I1572*K1572</f>
        <v/>
      </c>
      <c r="M1572">
        <f>SUM($K$2:K1572)</f>
        <v/>
      </c>
    </row>
    <row r="1573">
      <c r="A1573" t="inlineStr">
        <is>
          <t>230130</t>
        </is>
      </c>
      <c r="B1573" t="inlineStr">
        <is>
          <t>Corewell Health William Beaumont University Hospit</t>
        </is>
      </c>
      <c r="C1573" t="inlineStr">
        <is>
          <t>MI</t>
        </is>
      </c>
      <c r="D1573" t="inlineStr">
        <is>
          <t>Metropolitan</t>
        </is>
      </c>
      <c r="E1573" s="5" t="n">
        <v>8299</v>
      </c>
      <c r="F1573" s="4" t="n">
        <v>0.51524280033739</v>
      </c>
      <c r="G1573" s="4" t="n">
        <v>0.5094576065460524</v>
      </c>
      <c r="H1573" s="3" t="n">
        <v>141828541.8702477</v>
      </c>
      <c r="I1573" s="3" t="n">
        <v>-482956.8084441424</v>
      </c>
      <c r="J1573" s="4" t="n">
        <v>-0.0034052159182879</v>
      </c>
      <c r="K1573">
        <f>IF(AND(I1573&gt;0,J1573&gt;=Assumptions!$B$4),1,0)</f>
        <v/>
      </c>
      <c r="L1573" s="3">
        <f>I1573*K1573</f>
        <v/>
      </c>
      <c r="M1573">
        <f>SUM($K$2:K1573)</f>
        <v/>
      </c>
    </row>
    <row r="1574">
      <c r="A1574" t="inlineStr">
        <is>
          <t>110184</t>
        </is>
      </c>
      <c r="B1574" t="inlineStr">
        <is>
          <t>Wellstar Douglas Hospital</t>
        </is>
      </c>
      <c r="C1574" t="inlineStr">
        <is>
          <t>GA</t>
        </is>
      </c>
      <c r="D1574" t="inlineStr">
        <is>
          <t>Metropolitan</t>
        </is>
      </c>
      <c r="E1574" s="5" t="n">
        <v>770</v>
      </c>
      <c r="F1574" s="4" t="n">
        <v>0.7701298701298701</v>
      </c>
      <c r="G1574" s="4" t="n">
        <v>0.6809548999626296</v>
      </c>
      <c r="H1574" s="3" t="n">
        <v>10323796.32268009</v>
      </c>
      <c r="I1574" s="3" t="n">
        <v>-484279.9595179167</v>
      </c>
      <c r="J1574" s="4" t="n">
        <v>-0.0469090966521699</v>
      </c>
      <c r="K1574">
        <f>IF(AND(I1574&gt;0,J1574&gt;=Assumptions!$B$4),1,0)</f>
        <v/>
      </c>
      <c r="L1574" s="3">
        <f>I1574*K1574</f>
        <v/>
      </c>
      <c r="M1574">
        <f>SUM($K$2:K1574)</f>
        <v/>
      </c>
    </row>
    <row r="1575">
      <c r="A1575" t="inlineStr">
        <is>
          <t>030024</t>
        </is>
      </c>
      <c r="B1575" t="inlineStr">
        <is>
          <t>St. Joseph's Hospital And Medical Center</t>
        </is>
      </c>
      <c r="C1575" t="inlineStr">
        <is>
          <t>AZ</t>
        </is>
      </c>
      <c r="D1575" t="inlineStr">
        <is>
          <t>Metropolitan</t>
        </is>
      </c>
      <c r="E1575" s="5" t="n">
        <v>3181</v>
      </c>
      <c r="F1575" s="4" t="n">
        <v>0.4828670229487583</v>
      </c>
      <c r="G1575" s="4" t="n">
        <v>0.4974485904220734</v>
      </c>
      <c r="H1575" s="3" t="n">
        <v>76533788.58340652</v>
      </c>
      <c r="I1575" s="3" t="n">
        <v>-486202.5407232642</v>
      </c>
      <c r="J1575" s="4" t="n">
        <v>-0.0063527828652229</v>
      </c>
      <c r="K1575">
        <f>IF(AND(I1575&gt;0,J1575&gt;=Assumptions!$B$4),1,0)</f>
        <v/>
      </c>
      <c r="L1575" s="3">
        <f>I1575*K1575</f>
        <v/>
      </c>
      <c r="M1575">
        <f>SUM($K$2:K1575)</f>
        <v/>
      </c>
    </row>
    <row r="1576">
      <c r="A1576" t="inlineStr">
        <is>
          <t>240210</t>
        </is>
      </c>
      <c r="B1576" t="inlineStr">
        <is>
          <t>M Health Fairview St John's Hospital</t>
        </is>
      </c>
      <c r="C1576" t="inlineStr">
        <is>
          <t>MN</t>
        </is>
      </c>
      <c r="D1576" t="inlineStr">
        <is>
          <t>Metropolitan</t>
        </is>
      </c>
      <c r="E1576" s="5" t="n">
        <v>1305</v>
      </c>
      <c r="F1576" s="4" t="n">
        <v>0.632183908045977</v>
      </c>
      <c r="G1576" s="4" t="n">
        <v>0.5996508160965995</v>
      </c>
      <c r="H1576" s="3" t="n">
        <v>23416952.73751015</v>
      </c>
      <c r="I1576" s="3" t="n">
        <v>-489241.0033549033</v>
      </c>
      <c r="J1576" s="4" t="n">
        <v>-0.0208925990003481</v>
      </c>
      <c r="K1576">
        <f>IF(AND(I1576&gt;0,J1576&gt;=Assumptions!$B$4),1,0)</f>
        <v/>
      </c>
      <c r="L1576" s="3">
        <f>I1576*K1576</f>
        <v/>
      </c>
      <c r="M1576">
        <f>SUM($K$2:K1576)</f>
        <v/>
      </c>
    </row>
    <row r="1577">
      <c r="A1577" t="inlineStr">
        <is>
          <t>370094</t>
        </is>
      </c>
      <c r="B1577" t="inlineStr">
        <is>
          <t>Ssm Health St Anthony Hospital - Midwest</t>
        </is>
      </c>
      <c r="C1577" t="inlineStr">
        <is>
          <t>OK</t>
        </is>
      </c>
      <c r="D1577" t="inlineStr">
        <is>
          <t>Metropolitan</t>
        </is>
      </c>
      <c r="E1577" s="5" t="n">
        <v>825</v>
      </c>
      <c r="F1577" s="4" t="n">
        <v>0.6703030303030303</v>
      </c>
      <c r="G1577" s="4" t="n">
        <v>0.6288849220501304</v>
      </c>
      <c r="H1577" s="3" t="n">
        <v>11473339.68386841</v>
      </c>
      <c r="I1577" s="3" t="n">
        <v>-489596.152698569</v>
      </c>
      <c r="J1577" s="4" t="n">
        <v>-0.0426725056686802</v>
      </c>
      <c r="K1577">
        <f>IF(AND(I1577&gt;0,J1577&gt;=Assumptions!$B$4),1,0)</f>
        <v/>
      </c>
      <c r="L1577" s="3">
        <f>I1577*K1577</f>
        <v/>
      </c>
      <c r="M1577">
        <f>SUM($K$2:K1577)</f>
        <v/>
      </c>
    </row>
    <row r="1578">
      <c r="A1578" t="inlineStr">
        <is>
          <t>500150</t>
        </is>
      </c>
      <c r="B1578" t="inlineStr">
        <is>
          <t>Legacy Salmon Creek Medical Center</t>
        </is>
      </c>
      <c r="C1578" t="inlineStr">
        <is>
          <t>WA</t>
        </is>
      </c>
      <c r="D1578" t="inlineStr">
        <is>
          <t>Metropolitan</t>
        </is>
      </c>
      <c r="E1578" s="5" t="n">
        <v>1048</v>
      </c>
      <c r="F1578" s="4" t="n">
        <v>0.726145038167939</v>
      </c>
      <c r="G1578" s="4" t="n">
        <v>0.6457308519746282</v>
      </c>
      <c r="H1578" s="3" t="n">
        <v>15130254.00208525</v>
      </c>
      <c r="I1578" s="3" t="n">
        <v>-490164.4239216354</v>
      </c>
      <c r="J1578" s="4" t="n">
        <v>-0.032396311645137</v>
      </c>
      <c r="K1578">
        <f>IF(AND(I1578&gt;0,J1578&gt;=Assumptions!$B$4),1,0)</f>
        <v/>
      </c>
      <c r="L1578" s="3">
        <f>I1578*K1578</f>
        <v/>
      </c>
      <c r="M1578">
        <f>SUM($K$2:K1578)</f>
        <v/>
      </c>
    </row>
    <row r="1579">
      <c r="A1579" t="inlineStr">
        <is>
          <t>030055</t>
        </is>
      </c>
      <c r="B1579" t="inlineStr">
        <is>
          <t>Kingman Regional Medical Center</t>
        </is>
      </c>
      <c r="C1579" t="inlineStr">
        <is>
          <t>AZ</t>
        </is>
      </c>
      <c r="D1579" t="inlineStr">
        <is>
          <t>Micropolitan</t>
        </is>
      </c>
      <c r="E1579" s="5" t="n">
        <v>822</v>
      </c>
      <c r="F1579" s="4" t="n">
        <v>0.7506082725060828</v>
      </c>
      <c r="G1579" s="4" t="n">
        <v>0.6544842842204137</v>
      </c>
      <c r="H1579" s="3" t="n">
        <v>11116209.36181766</v>
      </c>
      <c r="I1579" s="3" t="n">
        <v>-490436.9751688372</v>
      </c>
      <c r="J1579" s="4" t="n">
        <v>-0.0441190840515658</v>
      </c>
      <c r="K1579">
        <f>IF(AND(I1579&gt;0,J1579&gt;=Assumptions!$B$4),1,0)</f>
        <v/>
      </c>
      <c r="L1579" s="3">
        <f>I1579*K1579</f>
        <v/>
      </c>
      <c r="M1579">
        <f>SUM($K$2:K1579)</f>
        <v/>
      </c>
    </row>
    <row r="1580">
      <c r="A1580" t="inlineStr">
        <is>
          <t>380007</t>
        </is>
      </c>
      <c r="B1580" t="inlineStr">
        <is>
          <t>Legacy Emanuel Medical Center</t>
        </is>
      </c>
      <c r="C1580" t="inlineStr">
        <is>
          <t>OR</t>
        </is>
      </c>
      <c r="D1580" t="inlineStr">
        <is>
          <t>Metropolitan</t>
        </is>
      </c>
      <c r="E1580" s="5" t="n">
        <v>868</v>
      </c>
      <c r="F1580" s="4" t="n">
        <v>0.5783410138248848</v>
      </c>
      <c r="G1580" s="4" t="n">
        <v>0.5189982276088658</v>
      </c>
      <c r="H1580" s="3" t="n">
        <v>18670142.62919254</v>
      </c>
      <c r="I1580" s="3" t="n">
        <v>-492420.8967512325</v>
      </c>
      <c r="J1580" s="4" t="n">
        <v>-0.0263747795895938</v>
      </c>
      <c r="K1580">
        <f>IF(AND(I1580&gt;0,J1580&gt;=Assumptions!$B$4),1,0)</f>
        <v/>
      </c>
      <c r="L1580" s="3">
        <f>I1580*K1580</f>
        <v/>
      </c>
      <c r="M1580">
        <f>SUM($K$2:K1580)</f>
        <v/>
      </c>
    </row>
    <row r="1581">
      <c r="A1581" t="inlineStr">
        <is>
          <t>060028</t>
        </is>
      </c>
      <c r="B1581" t="inlineStr">
        <is>
          <t>Saint Joseph Hospital</t>
        </is>
      </c>
      <c r="C1581" t="inlineStr">
        <is>
          <t>CO</t>
        </is>
      </c>
      <c r="D1581" t="inlineStr">
        <is>
          <t>Metropolitan</t>
        </is>
      </c>
      <c r="E1581" s="5" t="n">
        <v>730</v>
      </c>
      <c r="F1581" s="4" t="n">
        <v>0.6054794520547945</v>
      </c>
      <c r="G1581" s="4" t="n">
        <v>0.5417033225015503</v>
      </c>
      <c r="H1581" s="3" t="n">
        <v>19353420.39981899</v>
      </c>
      <c r="I1581" s="3" t="n">
        <v>-492768.3717353568</v>
      </c>
      <c r="J1581" s="4" t="n">
        <v>-0.0254615650130746</v>
      </c>
      <c r="K1581">
        <f>IF(AND(I1581&gt;0,J1581&gt;=Assumptions!$B$4),1,0)</f>
        <v/>
      </c>
      <c r="L1581" s="3">
        <f>I1581*K1581</f>
        <v/>
      </c>
      <c r="M1581">
        <f>SUM($K$2:K1581)</f>
        <v/>
      </c>
    </row>
    <row r="1582">
      <c r="A1582" t="inlineStr">
        <is>
          <t>050133</t>
        </is>
      </c>
      <c r="B1582" t="inlineStr">
        <is>
          <t>Adventist Health And Rideout</t>
        </is>
      </c>
      <c r="C1582" t="inlineStr">
        <is>
          <t>CA</t>
        </is>
      </c>
      <c r="D1582" t="inlineStr">
        <is>
          <t>Metropolitan</t>
        </is>
      </c>
      <c r="E1582" s="5" t="n">
        <v>2804</v>
      </c>
      <c r="F1582" s="4" t="n">
        <v>0.6690442225392297</v>
      </c>
      <c r="G1582" s="4" t="n">
        <v>0.6354457008726582</v>
      </c>
      <c r="H1582" s="3" t="n">
        <v>42010153.21946707</v>
      </c>
      <c r="I1582" s="3" t="n">
        <v>-492960.4309298694</v>
      </c>
      <c r="J1582" s="4" t="n">
        <v>-0.0117343164247598</v>
      </c>
      <c r="K1582">
        <f>IF(AND(I1582&gt;0,J1582&gt;=Assumptions!$B$4),1,0)</f>
        <v/>
      </c>
      <c r="L1582" s="3">
        <f>I1582*K1582</f>
        <v/>
      </c>
      <c r="M1582">
        <f>SUM($K$2:K1582)</f>
        <v/>
      </c>
    </row>
    <row r="1583">
      <c r="A1583" t="inlineStr">
        <is>
          <t>130007</t>
        </is>
      </c>
      <c r="B1583" t="inlineStr">
        <is>
          <t>Saint Alphonsus Regional Medical Center</t>
        </is>
      </c>
      <c r="C1583" t="inlineStr">
        <is>
          <t>ID</t>
        </is>
      </c>
      <c r="D1583" t="inlineStr">
        <is>
          <t>Metropolitan</t>
        </is>
      </c>
      <c r="E1583" s="5" t="n">
        <v>2126</v>
      </c>
      <c r="F1583" s="4" t="n">
        <v>0.522107243650047</v>
      </c>
      <c r="G1583" s="4" t="n">
        <v>0.4888082958891669</v>
      </c>
      <c r="H1583" s="3" t="n">
        <v>41166481.53660364</v>
      </c>
      <c r="I1583" s="3" t="n">
        <v>-493554.2719148248</v>
      </c>
      <c r="J1583" s="4" t="n">
        <v>-0.0119892265137105</v>
      </c>
      <c r="K1583">
        <f>IF(AND(I1583&gt;0,J1583&gt;=Assumptions!$B$4),1,0)</f>
        <v/>
      </c>
      <c r="L1583" s="3">
        <f>I1583*K1583</f>
        <v/>
      </c>
      <c r="M1583">
        <f>SUM($K$2:K1583)</f>
        <v/>
      </c>
    </row>
    <row r="1584">
      <c r="A1584" t="inlineStr">
        <is>
          <t>110036</t>
        </is>
      </c>
      <c r="B1584" t="inlineStr">
        <is>
          <t>Memorial Health University Medical Center</t>
        </is>
      </c>
      <c r="C1584" t="inlineStr">
        <is>
          <t>GA</t>
        </is>
      </c>
      <c r="D1584" t="inlineStr">
        <is>
          <t>Metropolitan</t>
        </is>
      </c>
      <c r="E1584" s="5" t="n">
        <v>3507</v>
      </c>
      <c r="F1584" s="4" t="n">
        <v>0.5317935557456516</v>
      </c>
      <c r="G1584" s="4" t="n">
        <v>0.5134499516842055</v>
      </c>
      <c r="H1584" s="3" t="n">
        <v>67496780.83140814</v>
      </c>
      <c r="I1584" s="3" t="n">
        <v>-494400.1466594637</v>
      </c>
      <c r="J1584" s="4" t="n">
        <v>-0.0073247959468521</v>
      </c>
      <c r="K1584">
        <f>IF(AND(I1584&gt;0,J1584&gt;=Assumptions!$B$4),1,0)</f>
        <v/>
      </c>
      <c r="L1584" s="3">
        <f>I1584*K1584</f>
        <v/>
      </c>
      <c r="M1584">
        <f>SUM($K$2:K1584)</f>
        <v/>
      </c>
    </row>
    <row r="1585">
      <c r="A1585" t="inlineStr">
        <is>
          <t>050373</t>
        </is>
      </c>
      <c r="B1585" t="inlineStr">
        <is>
          <t>Los Angeles General Medical Center</t>
        </is>
      </c>
      <c r="C1585" t="inlineStr">
        <is>
          <t>CA</t>
        </is>
      </c>
      <c r="D1585" t="inlineStr">
        <is>
          <t>Metropolitan</t>
        </is>
      </c>
      <c r="E1585" s="5" t="n">
        <v>1144</v>
      </c>
      <c r="F1585" s="4" t="n">
        <v>0.6818181818181818</v>
      </c>
      <c r="G1585" s="4" t="n">
        <v>0.6506617699742165</v>
      </c>
      <c r="H1585" s="3" t="n">
        <v>16642951.70830554</v>
      </c>
      <c r="I1585" s="3" t="n">
        <v>-495281.9048064444</v>
      </c>
      <c r="J1585" s="4" t="n">
        <v>-0.02975925866319</v>
      </c>
      <c r="K1585">
        <f>IF(AND(I1585&gt;0,J1585&gt;=Assumptions!$B$4),1,0)</f>
        <v/>
      </c>
      <c r="L1585" s="3">
        <f>I1585*K1585</f>
        <v/>
      </c>
      <c r="M1585">
        <f>SUM($K$2:K1585)</f>
        <v/>
      </c>
    </row>
    <row r="1586">
      <c r="A1586" t="inlineStr">
        <is>
          <t>390195</t>
        </is>
      </c>
      <c r="B1586" t="inlineStr">
        <is>
          <t>Lankenau Medical Center</t>
        </is>
      </c>
      <c r="C1586" t="inlineStr">
        <is>
          <t>PA</t>
        </is>
      </c>
      <c r="D1586" t="inlineStr">
        <is>
          <t>Metropolitan</t>
        </is>
      </c>
      <c r="E1586" s="5" t="n">
        <v>3811</v>
      </c>
      <c r="F1586" s="4" t="n">
        <v>0.5641563893991078</v>
      </c>
      <c r="G1586" s="4" t="n">
        <v>0.549422869067261</v>
      </c>
      <c r="H1586" s="3" t="n">
        <v>75877711.47181845</v>
      </c>
      <c r="I1586" s="3" t="n">
        <v>-496364.4394185394</v>
      </c>
      <c r="J1586" s="4" t="n">
        <v>-0.0065416369285583</v>
      </c>
      <c r="K1586">
        <f>IF(AND(I1586&gt;0,J1586&gt;=Assumptions!$B$4),1,0)</f>
        <v/>
      </c>
      <c r="L1586" s="3">
        <f>I1586*K1586</f>
        <v/>
      </c>
      <c r="M1586">
        <f>SUM($K$2:K1586)</f>
        <v/>
      </c>
    </row>
    <row r="1587">
      <c r="A1587" t="inlineStr">
        <is>
          <t>450662</t>
        </is>
      </c>
      <c r="B1587" t="inlineStr">
        <is>
          <t>Valley Regional Medical Center</t>
        </is>
      </c>
      <c r="C1587" t="inlineStr">
        <is>
          <t>TX</t>
        </is>
      </c>
      <c r="D1587" t="inlineStr">
        <is>
          <t>Metropolitan</t>
        </is>
      </c>
      <c r="E1587" s="5" t="n">
        <v>590</v>
      </c>
      <c r="F1587" s="4" t="n">
        <v>0.7898305084745763</v>
      </c>
      <c r="G1587" s="4" t="n">
        <v>0.690459076201599</v>
      </c>
      <c r="H1587" s="3" t="n">
        <v>8749022.455348654</v>
      </c>
      <c r="I1587" s="3" t="n">
        <v>-496429.5234600864</v>
      </c>
      <c r="J1587" s="4" t="n">
        <v>-0.0567411417668265</v>
      </c>
      <c r="K1587">
        <f>IF(AND(I1587&gt;0,J1587&gt;=Assumptions!$B$4),1,0)</f>
        <v/>
      </c>
      <c r="L1587" s="3">
        <f>I1587*K1587</f>
        <v/>
      </c>
      <c r="M1587">
        <f>SUM($K$2:K1587)</f>
        <v/>
      </c>
    </row>
    <row r="1588">
      <c r="A1588" t="inlineStr">
        <is>
          <t>050746</t>
        </is>
      </c>
      <c r="B1588" t="inlineStr">
        <is>
          <t>Orange County Global Medical Center</t>
        </is>
      </c>
      <c r="C1588" t="inlineStr">
        <is>
          <t>CA</t>
        </is>
      </c>
      <c r="D1588" t="inlineStr">
        <is>
          <t>Metropolitan</t>
        </is>
      </c>
      <c r="E1588" s="5" t="n">
        <v>542</v>
      </c>
      <c r="F1588" s="4" t="n">
        <v>0.7546125461254612</v>
      </c>
      <c r="G1588" s="4" t="n">
        <v>0.6432672429923536</v>
      </c>
      <c r="H1588" s="3" t="n">
        <v>8401959.188032398</v>
      </c>
      <c r="I1588" s="3" t="n">
        <v>-497815.5674835742</v>
      </c>
      <c r="J1588" s="4" t="n">
        <v>-0.0592499387753101</v>
      </c>
      <c r="K1588">
        <f>IF(AND(I1588&gt;0,J1588&gt;=Assumptions!$B$4),1,0)</f>
        <v/>
      </c>
      <c r="L1588" s="3">
        <f>I1588*K1588</f>
        <v/>
      </c>
      <c r="M1588">
        <f>SUM($K$2:K1588)</f>
        <v/>
      </c>
    </row>
    <row r="1589">
      <c r="A1589" t="inlineStr">
        <is>
          <t>260077</t>
        </is>
      </c>
      <c r="B1589" t="inlineStr">
        <is>
          <t>Mercy Hospital South</t>
        </is>
      </c>
      <c r="C1589" t="inlineStr">
        <is>
          <t>MO</t>
        </is>
      </c>
      <c r="D1589" t="inlineStr">
        <is>
          <t>Metropolitan</t>
        </is>
      </c>
      <c r="E1589" s="5" t="n">
        <v>4088</v>
      </c>
      <c r="F1589" s="4" t="n">
        <v>0.5349804305283757</v>
      </c>
      <c r="G1589" s="4" t="n">
        <v>0.5272751863151998</v>
      </c>
      <c r="H1589" s="3" t="n">
        <v>62624761.59895385</v>
      </c>
      <c r="I1589" s="3" t="n">
        <v>-501563.4614635557</v>
      </c>
      <c r="J1589" s="4" t="n">
        <v>-0.008009027877432</v>
      </c>
      <c r="K1589">
        <f>IF(AND(I1589&gt;0,J1589&gt;=Assumptions!$B$4),1,0)</f>
        <v/>
      </c>
      <c r="L1589" s="3">
        <f>I1589*K1589</f>
        <v/>
      </c>
      <c r="M1589">
        <f>SUM($K$2:K1589)</f>
        <v/>
      </c>
    </row>
    <row r="1590">
      <c r="A1590" t="inlineStr">
        <is>
          <t>050320</t>
        </is>
      </c>
      <c r="B1590" t="inlineStr">
        <is>
          <t>Highland Hospital</t>
        </is>
      </c>
      <c r="C1590" t="inlineStr">
        <is>
          <t>CA</t>
        </is>
      </c>
      <c r="D1590" t="inlineStr">
        <is>
          <t>Metropolitan</t>
        </is>
      </c>
      <c r="E1590" s="5" t="n">
        <v>1289</v>
      </c>
      <c r="F1590" s="4" t="n">
        <v>0.6594259115593484</v>
      </c>
      <c r="G1590" s="4" t="n">
        <v>0.6385508886930805</v>
      </c>
      <c r="H1590" s="3" t="n">
        <v>18479869.68179124</v>
      </c>
      <c r="I1590" s="3" t="n">
        <v>-501811.1394733712</v>
      </c>
      <c r="J1590" s="4" t="n">
        <v>-0.0271544739283427</v>
      </c>
      <c r="K1590">
        <f>IF(AND(I1590&gt;0,J1590&gt;=Assumptions!$B$4),1,0)</f>
        <v/>
      </c>
      <c r="L1590" s="3">
        <f>I1590*K1590</f>
        <v/>
      </c>
      <c r="M1590">
        <f>SUM($K$2:K1590)</f>
        <v/>
      </c>
    </row>
    <row r="1591">
      <c r="A1591" t="inlineStr">
        <is>
          <t>160064</t>
        </is>
      </c>
      <c r="B1591" t="inlineStr">
        <is>
          <t>Mercyone North Iowa Medical Center</t>
        </is>
      </c>
      <c r="C1591" t="inlineStr">
        <is>
          <t>IA</t>
        </is>
      </c>
      <c r="D1591" t="inlineStr">
        <is>
          <t>Micropolitan</t>
        </is>
      </c>
      <c r="E1591" s="5" t="n">
        <v>2233</v>
      </c>
      <c r="F1591" s="4" t="n">
        <v>0.5369458128078818</v>
      </c>
      <c r="G1591" s="4" t="n">
        <v>0.5539626905072677</v>
      </c>
      <c r="H1591" s="3" t="n">
        <v>33033038.37772402</v>
      </c>
      <c r="I1591" s="3" t="n">
        <v>-504197.4998091049</v>
      </c>
      <c r="J1591" s="4" t="n">
        <v>-0.0152634309337137</v>
      </c>
      <c r="K1591">
        <f>IF(AND(I1591&gt;0,J1591&gt;=Assumptions!$B$4),1,0)</f>
        <v/>
      </c>
      <c r="L1591" s="3">
        <f>I1591*K1591</f>
        <v/>
      </c>
      <c r="M1591">
        <f>SUM($K$2:K1591)</f>
        <v/>
      </c>
    </row>
    <row r="1592">
      <c r="A1592" t="inlineStr">
        <is>
          <t>390145</t>
        </is>
      </c>
      <c r="B1592" t="inlineStr">
        <is>
          <t>Excela Health Westmoreland Hospital</t>
        </is>
      </c>
      <c r="C1592" t="inlineStr">
        <is>
          <t>PA</t>
        </is>
      </c>
      <c r="D1592" t="inlineStr">
        <is>
          <t>Metropolitan</t>
        </is>
      </c>
      <c r="E1592" s="5" t="n">
        <v>1018</v>
      </c>
      <c r="F1592" s="4" t="n">
        <v>0.6581532416502947</v>
      </c>
      <c r="G1592" s="4" t="n">
        <v>0.6242147419739039</v>
      </c>
      <c r="H1592" s="3" t="n">
        <v>15898856.98798951</v>
      </c>
      <c r="I1592" s="3" t="n">
        <v>-505866.883540025</v>
      </c>
      <c r="J1592" s="4" t="n">
        <v>-0.031817814571335</v>
      </c>
      <c r="K1592">
        <f>IF(AND(I1592&gt;0,J1592&gt;=Assumptions!$B$4),1,0)</f>
        <v/>
      </c>
      <c r="L1592" s="3">
        <f>I1592*K1592</f>
        <v/>
      </c>
      <c r="M1592">
        <f>SUM($K$2:K1592)</f>
        <v/>
      </c>
    </row>
    <row r="1593">
      <c r="A1593" t="inlineStr">
        <is>
          <t>140172</t>
        </is>
      </c>
      <c r="B1593" t="inlineStr">
        <is>
          <t>Franciscan Health Olympia &amp; Chicago Heights</t>
        </is>
      </c>
      <c r="C1593" t="inlineStr">
        <is>
          <t>IL</t>
        </is>
      </c>
      <c r="D1593" t="inlineStr">
        <is>
          <t>Metropolitan</t>
        </is>
      </c>
      <c r="E1593" s="5" t="n">
        <v>1583</v>
      </c>
      <c r="F1593" s="4" t="n">
        <v>0.6582438408085913</v>
      </c>
      <c r="G1593" s="4" t="n">
        <v>0.6418465801740729</v>
      </c>
      <c r="H1593" s="3" t="n">
        <v>21794856.05896468</v>
      </c>
      <c r="I1593" s="3" t="n">
        <v>-506553.8633556366</v>
      </c>
      <c r="J1593" s="4" t="n">
        <v>-0.0232418999228618</v>
      </c>
      <c r="K1593">
        <f>IF(AND(I1593&gt;0,J1593&gt;=Assumptions!$B$4),1,0)</f>
        <v/>
      </c>
      <c r="L1593" s="3">
        <f>I1593*K1593</f>
        <v/>
      </c>
      <c r="M1593">
        <f>SUM($K$2:K1593)</f>
        <v/>
      </c>
    </row>
    <row r="1594">
      <c r="A1594" t="inlineStr">
        <is>
          <t>050289</t>
        </is>
      </c>
      <c r="B1594" t="inlineStr">
        <is>
          <t>Ahmc Seton Medical Center</t>
        </is>
      </c>
      <c r="C1594" t="inlineStr">
        <is>
          <t>CA</t>
        </is>
      </c>
      <c r="D1594" t="inlineStr">
        <is>
          <t>Metropolitan</t>
        </is>
      </c>
      <c r="E1594" s="5" t="n">
        <v>407</v>
      </c>
      <c r="F1594" s="4" t="n">
        <v>0.8869778869778869</v>
      </c>
      <c r="G1594" s="4" t="n">
        <v>0.7287815851108878</v>
      </c>
      <c r="H1594" s="3" t="n">
        <v>6295922.564916894</v>
      </c>
      <c r="I1594" s="3" t="n">
        <v>-506748.8471463705</v>
      </c>
      <c r="J1594" s="4" t="n">
        <v>-0.0804884180072598</v>
      </c>
      <c r="K1594">
        <f>IF(AND(I1594&gt;0,J1594&gt;=Assumptions!$B$4),1,0)</f>
        <v/>
      </c>
      <c r="L1594" s="3">
        <f>I1594*K1594</f>
        <v/>
      </c>
      <c r="M1594">
        <f>SUM($K$2:K1594)</f>
        <v/>
      </c>
    </row>
    <row r="1595">
      <c r="A1595" t="inlineStr">
        <is>
          <t>330185</t>
        </is>
      </c>
      <c r="B1595" t="inlineStr">
        <is>
          <t>John T Mather Memorial Hospital  Of Port Jefferson</t>
        </is>
      </c>
      <c r="C1595" t="inlineStr">
        <is>
          <t>NY</t>
        </is>
      </c>
      <c r="D1595" t="inlineStr">
        <is>
          <t>Metropolitan</t>
        </is>
      </c>
      <c r="E1595" s="5" t="n">
        <v>2988</v>
      </c>
      <c r="F1595" s="4" t="n">
        <v>0.6044176706827309</v>
      </c>
      <c r="G1595" s="4" t="n">
        <v>0.583659837743181</v>
      </c>
      <c r="H1595" s="3" t="n">
        <v>43869606.7527333</v>
      </c>
      <c r="I1595" s="3" t="n">
        <v>-508052.7313966304</v>
      </c>
      <c r="J1595" s="4" t="n">
        <v>-0.011580973001655</v>
      </c>
      <c r="K1595">
        <f>IF(AND(I1595&gt;0,J1595&gt;=Assumptions!$B$4),1,0)</f>
        <v/>
      </c>
      <c r="L1595" s="3">
        <f>I1595*K1595</f>
        <v/>
      </c>
      <c r="M1595">
        <f>SUM($K$2:K1595)</f>
        <v/>
      </c>
    </row>
    <row r="1596">
      <c r="A1596" t="inlineStr">
        <is>
          <t>670041</t>
        </is>
      </c>
      <c r="B1596" t="inlineStr">
        <is>
          <t>Ascension Seton Williamson</t>
        </is>
      </c>
      <c r="C1596" t="inlineStr">
        <is>
          <t>TX</t>
        </is>
      </c>
      <c r="D1596" t="inlineStr">
        <is>
          <t>Metropolitan</t>
        </is>
      </c>
      <c r="E1596" s="5" t="n">
        <v>1255</v>
      </c>
      <c r="F1596" s="4" t="n">
        <v>0.6247011952191235</v>
      </c>
      <c r="G1596" s="4" t="n">
        <v>0.5752254369189634</v>
      </c>
      <c r="H1596" s="3" t="n">
        <v>19846362.61022265</v>
      </c>
      <c r="I1596" s="3" t="n">
        <v>-510185.7200848274</v>
      </c>
      <c r="J1596" s="4" t="n">
        <v>-0.0257067619948673</v>
      </c>
      <c r="K1596">
        <f>IF(AND(I1596&gt;0,J1596&gt;=Assumptions!$B$4),1,0)</f>
        <v/>
      </c>
      <c r="L1596" s="3">
        <f>I1596*K1596</f>
        <v/>
      </c>
      <c r="M1596">
        <f>SUM($K$2:K1596)</f>
        <v/>
      </c>
    </row>
    <row r="1597">
      <c r="A1597" t="inlineStr">
        <is>
          <t>370106</t>
        </is>
      </c>
      <c r="B1597" t="inlineStr">
        <is>
          <t>Integris Southwest Medical Center</t>
        </is>
      </c>
      <c r="C1597" t="inlineStr">
        <is>
          <t>OK</t>
        </is>
      </c>
      <c r="D1597" t="inlineStr">
        <is>
          <t>Metropolitan</t>
        </is>
      </c>
      <c r="E1597" s="5" t="n">
        <v>1341</v>
      </c>
      <c r="F1597" s="4" t="n">
        <v>0.6823266219239373</v>
      </c>
      <c r="G1597" s="4" t="n">
        <v>0.6403807720704093</v>
      </c>
      <c r="H1597" s="3" t="n">
        <v>20000752.64140669</v>
      </c>
      <c r="I1597" s="3" t="n">
        <v>-510229.4565519542</v>
      </c>
      <c r="J1597" s="4" t="n">
        <v>-0.0255105128141852</v>
      </c>
      <c r="K1597">
        <f>IF(AND(I1597&gt;0,J1597&gt;=Assumptions!$B$4),1,0)</f>
        <v/>
      </c>
      <c r="L1597" s="3">
        <f>I1597*K1597</f>
        <v/>
      </c>
      <c r="M1597">
        <f>SUM($K$2:K1597)</f>
        <v/>
      </c>
    </row>
    <row r="1598">
      <c r="A1598" t="inlineStr">
        <is>
          <t>050471</t>
        </is>
      </c>
      <c r="B1598" t="inlineStr">
        <is>
          <t>Pih Health Good Samaritan Hospital</t>
        </is>
      </c>
      <c r="C1598" t="inlineStr">
        <is>
          <t>CA</t>
        </is>
      </c>
      <c r="D1598" t="inlineStr">
        <is>
          <t>Metropolitan</t>
        </is>
      </c>
      <c r="E1598" s="5" t="n">
        <v>1559</v>
      </c>
      <c r="F1598" s="4" t="n">
        <v>0.6292495189223861</v>
      </c>
      <c r="G1598" s="4" t="n">
        <v>0.5886559454004066</v>
      </c>
      <c r="H1598" s="3" t="n">
        <v>28647808.93764832</v>
      </c>
      <c r="I1598" s="3" t="n">
        <v>-512240.8460767157</v>
      </c>
      <c r="J1598" s="4" t="n">
        <v>-0.0178806290977297</v>
      </c>
      <c r="K1598">
        <f>IF(AND(I1598&gt;0,J1598&gt;=Assumptions!$B$4),1,0)</f>
        <v/>
      </c>
      <c r="L1598" s="3">
        <f>I1598*K1598</f>
        <v/>
      </c>
      <c r="M1598">
        <f>SUM($K$2:K1598)</f>
        <v/>
      </c>
    </row>
    <row r="1599">
      <c r="A1599" t="inlineStr">
        <is>
          <t>040137</t>
        </is>
      </c>
      <c r="B1599" t="inlineStr">
        <is>
          <t>St Vincent Medical Center/North</t>
        </is>
      </c>
      <c r="C1599" t="inlineStr">
        <is>
          <t>AR</t>
        </is>
      </c>
      <c r="D1599" t="inlineStr">
        <is>
          <t>Metropolitan</t>
        </is>
      </c>
      <c r="E1599" s="5" t="n">
        <v>577</v>
      </c>
      <c r="F1599" s="4" t="n">
        <v>0.6967071057192374</v>
      </c>
      <c r="G1599" s="4" t="n">
        <v>0.6297336405293822</v>
      </c>
      <c r="H1599" s="3" t="n">
        <v>12046157.39282713</v>
      </c>
      <c r="I1599" s="3" t="n">
        <v>-519183.7005899008</v>
      </c>
      <c r="J1599" s="4" t="n">
        <v>-0.0430995282279018</v>
      </c>
      <c r="K1599">
        <f>IF(AND(I1599&gt;0,J1599&gt;=Assumptions!$B$4),1,0)</f>
        <v/>
      </c>
      <c r="L1599" s="3">
        <f>I1599*K1599</f>
        <v/>
      </c>
      <c r="M1599">
        <f>SUM($K$2:K1599)</f>
        <v/>
      </c>
    </row>
    <row r="1600">
      <c r="A1600" t="inlineStr">
        <is>
          <t>170013</t>
        </is>
      </c>
      <c r="B1600" t="inlineStr">
        <is>
          <t>Hays Medical Center</t>
        </is>
      </c>
      <c r="C1600" t="inlineStr">
        <is>
          <t>KS</t>
        </is>
      </c>
      <c r="D1600" t="inlineStr">
        <is>
          <t>Micropolitan</t>
        </is>
      </c>
      <c r="E1600" s="5" t="n">
        <v>1299</v>
      </c>
      <c r="F1600" s="4" t="n">
        <v>0.6081601231716706</v>
      </c>
      <c r="G1600" s="4" t="n">
        <v>0.5765012704253025</v>
      </c>
      <c r="H1600" s="3" t="n">
        <v>20432556.73984021</v>
      </c>
      <c r="I1600" s="3" t="n">
        <v>-523530.4186079204</v>
      </c>
      <c r="J1600" s="4" t="n">
        <v>-0.0256223646053614</v>
      </c>
      <c r="K1600">
        <f>IF(AND(I1600&gt;0,J1600&gt;=Assumptions!$B$4),1,0)</f>
        <v/>
      </c>
      <c r="L1600" s="3">
        <f>I1600*K1600</f>
        <v/>
      </c>
      <c r="M1600">
        <f>SUM($K$2:K1600)</f>
        <v/>
      </c>
    </row>
    <row r="1601">
      <c r="A1601" t="inlineStr">
        <is>
          <t>100029</t>
        </is>
      </c>
      <c r="B1601" t="inlineStr">
        <is>
          <t>Steward North Shore Medical Center</t>
        </is>
      </c>
      <c r="C1601" t="inlineStr">
        <is>
          <t>FL</t>
        </is>
      </c>
      <c r="D1601" t="inlineStr">
        <is>
          <t>Metropolitan</t>
        </is>
      </c>
      <c r="E1601" s="5" t="n">
        <v>1112</v>
      </c>
      <c r="F1601" s="4" t="n">
        <v>0.6303956834532374</v>
      </c>
      <c r="G1601" s="4" t="n">
        <v>0.6029988388106109</v>
      </c>
      <c r="H1601" s="3" t="n">
        <v>16172729.03841403</v>
      </c>
      <c r="I1601" s="3" t="n">
        <v>-523872.9283707328</v>
      </c>
      <c r="J1601" s="4" t="n">
        <v>-0.0323923641536571</v>
      </c>
      <c r="K1601">
        <f>IF(AND(I1601&gt;0,J1601&gt;=Assumptions!$B$4),1,0)</f>
        <v/>
      </c>
      <c r="L1601" s="3">
        <f>I1601*K1601</f>
        <v/>
      </c>
      <c r="M1601">
        <f>SUM($K$2:K1601)</f>
        <v/>
      </c>
    </row>
    <row r="1602">
      <c r="A1602" t="inlineStr">
        <is>
          <t>150048</t>
        </is>
      </c>
      <c r="B1602" t="inlineStr">
        <is>
          <t>Reid Health</t>
        </is>
      </c>
      <c r="C1602" t="inlineStr">
        <is>
          <t>IN</t>
        </is>
      </c>
      <c r="D1602" t="inlineStr">
        <is>
          <t>Micropolitan</t>
        </is>
      </c>
      <c r="E1602" s="5" t="n">
        <v>2936</v>
      </c>
      <c r="F1602" s="4" t="n">
        <v>0.6001362397820164</v>
      </c>
      <c r="G1602" s="4" t="n">
        <v>0.5869691932437742</v>
      </c>
      <c r="H1602" s="3" t="n">
        <v>45125095.15036199</v>
      </c>
      <c r="I1602" s="3" t="n">
        <v>-524444.2203005478</v>
      </c>
      <c r="J1602" s="4" t="n">
        <v>-0.0116220080767262</v>
      </c>
      <c r="K1602">
        <f>IF(AND(I1602&gt;0,J1602&gt;=Assumptions!$B$4),1,0)</f>
        <v/>
      </c>
      <c r="L1602" s="3">
        <f>I1602*K1602</f>
        <v/>
      </c>
      <c r="M1602">
        <f>SUM($K$2:K1602)</f>
        <v/>
      </c>
    </row>
    <row r="1603">
      <c r="A1603" t="inlineStr">
        <is>
          <t>140091</t>
        </is>
      </c>
      <c r="B1603" t="inlineStr">
        <is>
          <t>The Carle Foundation Hospital</t>
        </is>
      </c>
      <c r="C1603" t="inlineStr">
        <is>
          <t>IL</t>
        </is>
      </c>
      <c r="D1603" t="inlineStr">
        <is>
          <t>Metropolitan</t>
        </is>
      </c>
      <c r="E1603" s="5" t="n">
        <v>4392</v>
      </c>
      <c r="F1603" s="4" t="n">
        <v>0.5512295081967213</v>
      </c>
      <c r="G1603" s="4" t="n">
        <v>0.5466432812476123</v>
      </c>
      <c r="H1603" s="3" t="n">
        <v>67763162.28063756</v>
      </c>
      <c r="I1603" s="3" t="n">
        <v>-525045.1842750013</v>
      </c>
      <c r="J1603" s="4" t="n">
        <v>-0.0077482391111051</v>
      </c>
      <c r="K1603">
        <f>IF(AND(I1603&gt;0,J1603&gt;=Assumptions!$B$4),1,0)</f>
        <v/>
      </c>
      <c r="L1603" s="3">
        <f>I1603*K1603</f>
        <v/>
      </c>
      <c r="M1603">
        <f>SUM($K$2:K1603)</f>
        <v/>
      </c>
    </row>
    <row r="1604">
      <c r="A1604" t="inlineStr">
        <is>
          <t>110191</t>
        </is>
      </c>
      <c r="B1604" t="inlineStr">
        <is>
          <t>Piedmont Henry Hospital</t>
        </is>
      </c>
      <c r="C1604" t="inlineStr">
        <is>
          <t>GA</t>
        </is>
      </c>
      <c r="D1604" t="inlineStr">
        <is>
          <t>Metropolitan</t>
        </is>
      </c>
      <c r="E1604" s="5" t="n">
        <v>2007</v>
      </c>
      <c r="F1604" s="4" t="n">
        <v>0.6980568011958147</v>
      </c>
      <c r="G1604" s="4" t="n">
        <v>0.6654092729350386</v>
      </c>
      <c r="H1604" s="3" t="n">
        <v>28906818.75886982</v>
      </c>
      <c r="I1604" s="3" t="n">
        <v>-526353.2174106427</v>
      </c>
      <c r="J1604" s="4" t="n">
        <v>-0.0182086178974341</v>
      </c>
      <c r="K1604">
        <f>IF(AND(I1604&gt;0,J1604&gt;=Assumptions!$B$4),1,0)</f>
        <v/>
      </c>
      <c r="L1604" s="3">
        <f>I1604*K1604</f>
        <v/>
      </c>
      <c r="M1604">
        <f>SUM($K$2:K1604)</f>
        <v/>
      </c>
    </row>
    <row r="1605">
      <c r="A1605" t="inlineStr">
        <is>
          <t>450669</t>
        </is>
      </c>
      <c r="B1605" t="inlineStr">
        <is>
          <t>Medical City Lewisville</t>
        </is>
      </c>
      <c r="C1605" t="inlineStr">
        <is>
          <t>TX</t>
        </is>
      </c>
      <c r="D1605" t="inlineStr">
        <is>
          <t>Metropolitan</t>
        </is>
      </c>
      <c r="E1605" s="5" t="n">
        <v>608</v>
      </c>
      <c r="F1605" s="4" t="n">
        <v>0.7664473684210527</v>
      </c>
      <c r="G1605" s="4" t="n">
        <v>0.6447472308442199</v>
      </c>
      <c r="H1605" s="3" t="n">
        <v>7770943.846567903</v>
      </c>
      <c r="I1605" s="3" t="n">
        <v>-527587.327456045</v>
      </c>
      <c r="J1605" s="4" t="n">
        <v>-0.06789230984973051</v>
      </c>
      <c r="K1605">
        <f>IF(AND(I1605&gt;0,J1605&gt;=Assumptions!$B$4),1,0)</f>
        <v/>
      </c>
      <c r="L1605" s="3">
        <f>I1605*K1605</f>
        <v/>
      </c>
      <c r="M1605">
        <f>SUM($K$2:K1605)</f>
        <v/>
      </c>
    </row>
    <row r="1606">
      <c r="A1606" t="inlineStr">
        <is>
          <t>010046</t>
        </is>
      </c>
      <c r="B1606" t="inlineStr">
        <is>
          <t>Riverview Regional Medical Center</t>
        </is>
      </c>
      <c r="C1606" t="inlineStr">
        <is>
          <t>AL</t>
        </is>
      </c>
      <c r="D1606" t="inlineStr">
        <is>
          <t>Metropolitan</t>
        </is>
      </c>
      <c r="E1606" s="5" t="n">
        <v>1061</v>
      </c>
      <c r="F1606" s="4" t="n">
        <v>0.6880301602262017</v>
      </c>
      <c r="G1606" s="4" t="n">
        <v>0.619892946156383</v>
      </c>
      <c r="H1606" s="3" t="n">
        <v>14122163.66059312</v>
      </c>
      <c r="I1606" s="3" t="n">
        <v>-527614.4499132279</v>
      </c>
      <c r="J1606" s="4" t="n">
        <v>-0.0373607375324149</v>
      </c>
      <c r="K1606">
        <f>IF(AND(I1606&gt;0,J1606&gt;=Assumptions!$B$4),1,0)</f>
        <v/>
      </c>
      <c r="L1606" s="3">
        <f>I1606*K1606</f>
        <v/>
      </c>
      <c r="M1606">
        <f>SUM($K$2:K1606)</f>
        <v/>
      </c>
    </row>
    <row r="1607">
      <c r="A1607" t="inlineStr">
        <is>
          <t>440194</t>
        </is>
      </c>
      <c r="B1607" t="inlineStr">
        <is>
          <t>Tristar Hendersonville Medical Center</t>
        </is>
      </c>
      <c r="C1607" t="inlineStr">
        <is>
          <t>TN</t>
        </is>
      </c>
      <c r="D1607" t="inlineStr">
        <is>
          <t>Metropolitan</t>
        </is>
      </c>
      <c r="E1607" s="5" t="n">
        <v>934</v>
      </c>
      <c r="F1607" s="4" t="n">
        <v>0.7141327623126338</v>
      </c>
      <c r="G1607" s="4" t="n">
        <v>0.6482383356218342</v>
      </c>
      <c r="H1607" s="3" t="n">
        <v>13125476.47265448</v>
      </c>
      <c r="I1607" s="3" t="n">
        <v>-528460.4148974828</v>
      </c>
      <c r="J1607" s="4" t="n">
        <v>-0.0402621890335542</v>
      </c>
      <c r="K1607">
        <f>IF(AND(I1607&gt;0,J1607&gt;=Assumptions!$B$4),1,0)</f>
        <v/>
      </c>
      <c r="L1607" s="3">
        <f>I1607*K1607</f>
        <v/>
      </c>
      <c r="M1607">
        <f>SUM($K$2:K1607)</f>
        <v/>
      </c>
    </row>
    <row r="1608">
      <c r="A1608" t="inlineStr">
        <is>
          <t>280130</t>
        </is>
      </c>
      <c r="B1608" t="inlineStr">
        <is>
          <t>Chi Health Lakeside</t>
        </is>
      </c>
      <c r="C1608" t="inlineStr">
        <is>
          <t>NE</t>
        </is>
      </c>
      <c r="D1608" t="inlineStr">
        <is>
          <t>Metropolitan</t>
        </is>
      </c>
      <c r="E1608" s="5" t="n">
        <v>1268</v>
      </c>
      <c r="F1608" s="4" t="n">
        <v>0.7326498422712934</v>
      </c>
      <c r="G1608" s="4" t="n">
        <v>0.668155148484156</v>
      </c>
      <c r="H1608" s="3" t="n">
        <v>19616398.45252697</v>
      </c>
      <c r="I1608" s="3" t="n">
        <v>-528836.0987777933</v>
      </c>
      <c r="J1608" s="4" t="n">
        <v>-0.0269588783107976</v>
      </c>
      <c r="K1608">
        <f>IF(AND(I1608&gt;0,J1608&gt;=Assumptions!$B$4),1,0)</f>
        <v/>
      </c>
      <c r="L1608" s="3">
        <f>I1608*K1608</f>
        <v/>
      </c>
      <c r="M1608">
        <f>SUM($K$2:K1608)</f>
        <v/>
      </c>
    </row>
    <row r="1609">
      <c r="A1609" t="inlineStr">
        <is>
          <t>150017</t>
        </is>
      </c>
      <c r="B1609" t="inlineStr">
        <is>
          <t>Lutheran Hospital Of Indiana</t>
        </is>
      </c>
      <c r="C1609" t="inlineStr">
        <is>
          <t>IN</t>
        </is>
      </c>
      <c r="D1609" t="inlineStr">
        <is>
          <t>Metropolitan</t>
        </is>
      </c>
      <c r="E1609" s="5" t="n">
        <v>2143</v>
      </c>
      <c r="F1609" s="4" t="n">
        <v>0.5860942603826411</v>
      </c>
      <c r="G1609" s="4" t="n">
        <v>0.5603783576444655</v>
      </c>
      <c r="H1609" s="3" t="n">
        <v>39408277.55305557</v>
      </c>
      <c r="I1609" s="3" t="n">
        <v>-530331.7045361549</v>
      </c>
      <c r="J1609" s="4" t="n">
        <v>-0.0134573682856898</v>
      </c>
      <c r="K1609">
        <f>IF(AND(I1609&gt;0,J1609&gt;=Assumptions!$B$4),1,0)</f>
        <v/>
      </c>
      <c r="L1609" s="3">
        <f>I1609*K1609</f>
        <v/>
      </c>
      <c r="M1609">
        <f>SUM($K$2:K1609)</f>
        <v/>
      </c>
    </row>
    <row r="1610">
      <c r="A1610" t="inlineStr">
        <is>
          <t>140088</t>
        </is>
      </c>
      <c r="B1610" t="inlineStr">
        <is>
          <t>The University Of Chicago Medical Center</t>
        </is>
      </c>
      <c r="C1610" t="inlineStr">
        <is>
          <t>IL</t>
        </is>
      </c>
      <c r="D1610" t="inlineStr">
        <is>
          <t>Metropolitan</t>
        </is>
      </c>
      <c r="E1610" s="5" t="n">
        <v>5145</v>
      </c>
      <c r="F1610" s="4" t="n">
        <v>0.5428571428571428</v>
      </c>
      <c r="G1610" s="4" t="n">
        <v>0.5383189529222996</v>
      </c>
      <c r="H1610" s="3" t="n">
        <v>98129991.29006356</v>
      </c>
      <c r="I1610" s="3" t="n">
        <v>-531638.2081564218</v>
      </c>
      <c r="J1610" s="4" t="n">
        <v>-0.0054176934204034</v>
      </c>
      <c r="K1610">
        <f>IF(AND(I1610&gt;0,J1610&gt;=Assumptions!$B$4),1,0)</f>
        <v/>
      </c>
      <c r="L1610" s="3">
        <f>I1610*K1610</f>
        <v/>
      </c>
      <c r="M1610">
        <f>SUM($K$2:K1610)</f>
        <v/>
      </c>
    </row>
    <row r="1611">
      <c r="A1611" t="inlineStr">
        <is>
          <t>450054</t>
        </is>
      </c>
      <c r="B1611" t="inlineStr">
        <is>
          <t>Baylor Scott &amp; White Medical  Center - Temple</t>
        </is>
      </c>
      <c r="C1611" t="inlineStr">
        <is>
          <t>TX</t>
        </is>
      </c>
      <c r="D1611" t="inlineStr">
        <is>
          <t>Metropolitan</t>
        </is>
      </c>
      <c r="E1611" s="5" t="n">
        <v>4244</v>
      </c>
      <c r="F1611" s="4" t="n">
        <v>0.5311027332704995</v>
      </c>
      <c r="G1611" s="4" t="n">
        <v>0.5193232493550176</v>
      </c>
      <c r="H1611" s="3" t="n">
        <v>76630985.74833706</v>
      </c>
      <c r="I1611" s="3" t="n">
        <v>-532614.2984979153</v>
      </c>
      <c r="J1611" s="4" t="n">
        <v>-0.0069503777525069</v>
      </c>
      <c r="K1611">
        <f>IF(AND(I1611&gt;0,J1611&gt;=Assumptions!$B$4),1,0)</f>
        <v/>
      </c>
      <c r="L1611" s="3">
        <f>I1611*K1611</f>
        <v/>
      </c>
      <c r="M1611">
        <f>SUM($K$2:K1611)</f>
        <v/>
      </c>
    </row>
    <row r="1612">
      <c r="A1612" t="inlineStr">
        <is>
          <t>110038</t>
        </is>
      </c>
      <c r="B1612" t="inlineStr">
        <is>
          <t>Archbold Memorial</t>
        </is>
      </c>
      <c r="C1612" t="inlineStr">
        <is>
          <t>GA</t>
        </is>
      </c>
      <c r="D1612" t="inlineStr">
        <is>
          <t>Micropolitan</t>
        </is>
      </c>
      <c r="E1612" s="5" t="n">
        <v>709</v>
      </c>
      <c r="F1612" s="4" t="n">
        <v>0.7616361071932299</v>
      </c>
      <c r="G1612" s="4" t="n">
        <v>0.6957133079550324</v>
      </c>
      <c r="H1612" s="3" t="n">
        <v>10704248.14114148</v>
      </c>
      <c r="I1612" s="3" t="n">
        <v>-532937.2644282896</v>
      </c>
      <c r="J1612" s="4" t="n">
        <v>-0.0497874542332366</v>
      </c>
      <c r="K1612">
        <f>IF(AND(I1612&gt;0,J1612&gt;=Assumptions!$B$4),1,0)</f>
        <v/>
      </c>
      <c r="L1612" s="3">
        <f>I1612*K1612</f>
        <v/>
      </c>
      <c r="M1612">
        <f>SUM($K$2:K1612)</f>
        <v/>
      </c>
    </row>
    <row r="1613">
      <c r="A1613" t="inlineStr">
        <is>
          <t>310003</t>
        </is>
      </c>
      <c r="B1613" t="inlineStr">
        <is>
          <t>Palisades Medical Center</t>
        </is>
      </c>
      <c r="C1613" t="inlineStr">
        <is>
          <t>NJ</t>
        </is>
      </c>
      <c r="D1613" t="inlineStr">
        <is>
          <t>Metropolitan</t>
        </is>
      </c>
      <c r="E1613" s="5" t="n">
        <v>754</v>
      </c>
      <c r="F1613" s="4" t="n">
        <v>0.8116710875331565</v>
      </c>
      <c r="G1613" s="4" t="n">
        <v>0.7202462013766837</v>
      </c>
      <c r="H1613" s="3" t="n">
        <v>10473081.90728388</v>
      </c>
      <c r="I1613" s="3" t="n">
        <v>-534414.4117637407</v>
      </c>
      <c r="J1613" s="4" t="n">
        <v>-0.0510274259759262</v>
      </c>
      <c r="K1613">
        <f>IF(AND(I1613&gt;0,J1613&gt;=Assumptions!$B$4),1,0)</f>
        <v/>
      </c>
      <c r="L1613" s="3">
        <f>I1613*K1613</f>
        <v/>
      </c>
      <c r="M1613">
        <f>SUM($K$2:K1613)</f>
        <v/>
      </c>
    </row>
    <row r="1614">
      <c r="A1614" t="inlineStr">
        <is>
          <t>430014</t>
        </is>
      </c>
      <c r="B1614" t="inlineStr">
        <is>
          <t>Avera St Lukes</t>
        </is>
      </c>
      <c r="C1614" t="inlineStr">
        <is>
          <t>SD</t>
        </is>
      </c>
      <c r="D1614" t="inlineStr">
        <is>
          <t>Micropolitan</t>
        </is>
      </c>
      <c r="E1614" s="5" t="n">
        <v>766</v>
      </c>
      <c r="F1614" s="4" t="n">
        <v>0.6501305483028721</v>
      </c>
      <c r="G1614" s="4" t="n">
        <v>0.6193556869054886</v>
      </c>
      <c r="H1614" s="3" t="n">
        <v>12871227.89664872</v>
      </c>
      <c r="I1614" s="3" t="n">
        <v>-535475.6929790638</v>
      </c>
      <c r="J1614" s="4" t="n">
        <v>-0.0416025337503724</v>
      </c>
      <c r="K1614">
        <f>IF(AND(I1614&gt;0,J1614&gt;=Assumptions!$B$4),1,0)</f>
        <v/>
      </c>
      <c r="L1614" s="3">
        <f>I1614*K1614</f>
        <v/>
      </c>
      <c r="M1614">
        <f>SUM($K$2:K1614)</f>
        <v/>
      </c>
    </row>
    <row r="1615">
      <c r="A1615" t="inlineStr">
        <is>
          <t>230277</t>
        </is>
      </c>
      <c r="B1615" t="inlineStr">
        <is>
          <t>Huron Valley-Sinai Hospital</t>
        </is>
      </c>
      <c r="C1615" t="inlineStr">
        <is>
          <t>MI</t>
        </is>
      </c>
      <c r="D1615" t="inlineStr">
        <is>
          <t>Metropolitan</t>
        </is>
      </c>
      <c r="E1615" s="5" t="n">
        <v>667</v>
      </c>
      <c r="F1615" s="4" t="n">
        <v>0.7061469265367316</v>
      </c>
      <c r="G1615" s="4" t="n">
        <v>0.6627618061035061</v>
      </c>
      <c r="H1615" s="3" t="n">
        <v>9754400.218035435</v>
      </c>
      <c r="I1615" s="3" t="n">
        <v>-536769.9944158588</v>
      </c>
      <c r="J1615" s="4" t="n">
        <v>-0.055028498156493</v>
      </c>
      <c r="K1615">
        <f>IF(AND(I1615&gt;0,J1615&gt;=Assumptions!$B$4),1,0)</f>
        <v/>
      </c>
      <c r="L1615" s="3">
        <f>I1615*K1615</f>
        <v/>
      </c>
      <c r="M1615">
        <f>SUM($K$2:K1615)</f>
        <v/>
      </c>
    </row>
    <row r="1616">
      <c r="A1616" t="inlineStr">
        <is>
          <t>060113</t>
        </is>
      </c>
      <c r="B1616" t="inlineStr">
        <is>
          <t>Adventhealth Littleton</t>
        </is>
      </c>
      <c r="C1616" t="inlineStr">
        <is>
          <t>CO</t>
        </is>
      </c>
      <c r="D1616" t="inlineStr">
        <is>
          <t>Metropolitan</t>
        </is>
      </c>
      <c r="E1616" s="5" t="n">
        <v>1176</v>
      </c>
      <c r="F1616" s="4" t="n">
        <v>0.6649659863945578</v>
      </c>
      <c r="G1616" s="4" t="n">
        <v>0.6437825903755227</v>
      </c>
      <c r="H1616" s="3" t="n">
        <v>19420634.09112214</v>
      </c>
      <c r="I1616" s="3" t="n">
        <v>-542567.8583949059</v>
      </c>
      <c r="J1616" s="4" t="n">
        <v>-0.0279377004813109</v>
      </c>
      <c r="K1616">
        <f>IF(AND(I1616&gt;0,J1616&gt;=Assumptions!$B$4),1,0)</f>
        <v/>
      </c>
      <c r="L1616" s="3">
        <f>I1616*K1616</f>
        <v/>
      </c>
      <c r="M1616">
        <f>SUM($K$2:K1616)</f>
        <v/>
      </c>
    </row>
    <row r="1617">
      <c r="A1617" t="inlineStr">
        <is>
          <t>110129</t>
        </is>
      </c>
      <c r="B1617" t="inlineStr">
        <is>
          <t>St Francis Hospital- Emory Healthcare</t>
        </is>
      </c>
      <c r="C1617" t="inlineStr">
        <is>
          <t>GA</t>
        </is>
      </c>
      <c r="D1617" t="inlineStr">
        <is>
          <t>Metropolitan</t>
        </is>
      </c>
      <c r="E1617" s="5" t="n">
        <v>1151</v>
      </c>
      <c r="F1617" s="4" t="n">
        <v>0.685490877497828</v>
      </c>
      <c r="G1617" s="4" t="n">
        <v>0.6362239163188492</v>
      </c>
      <c r="H1617" s="3" t="n">
        <v>18166335.32677052</v>
      </c>
      <c r="I1617" s="3" t="n">
        <v>-544346.1286798902</v>
      </c>
      <c r="J1617" s="4" t="n">
        <v>-0.0299645536035946</v>
      </c>
      <c r="K1617">
        <f>IF(AND(I1617&gt;0,J1617&gt;=Assumptions!$B$4),1,0)</f>
        <v/>
      </c>
      <c r="L1617" s="3">
        <f>I1617*K1617</f>
        <v/>
      </c>
      <c r="M1617">
        <f>SUM($K$2:K1617)</f>
        <v/>
      </c>
    </row>
    <row r="1618">
      <c r="A1618" t="inlineStr">
        <is>
          <t>500021</t>
        </is>
      </c>
      <c r="B1618" t="inlineStr">
        <is>
          <t>St Clare Hospital</t>
        </is>
      </c>
      <c r="C1618" t="inlineStr">
        <is>
          <t>WA</t>
        </is>
      </c>
      <c r="D1618" t="inlineStr">
        <is>
          <t>Metropolitan</t>
        </is>
      </c>
      <c r="E1618" s="5" t="n">
        <v>534</v>
      </c>
      <c r="F1618" s="4" t="n">
        <v>0.8389513108614233</v>
      </c>
      <c r="G1618" s="4" t="n">
        <v>0.6988060849662237</v>
      </c>
      <c r="H1618" s="3" t="n">
        <v>8224160.601983252</v>
      </c>
      <c r="I1618" s="3" t="n">
        <v>-545026.6596469926</v>
      </c>
      <c r="J1618" s="4" t="n">
        <v>-0.0662714027636522</v>
      </c>
      <c r="K1618">
        <f>IF(AND(I1618&gt;0,J1618&gt;=Assumptions!$B$4),1,0)</f>
        <v/>
      </c>
      <c r="L1618" s="3">
        <f>I1618*K1618</f>
        <v/>
      </c>
      <c r="M1618">
        <f>SUM($K$2:K1618)</f>
        <v/>
      </c>
    </row>
    <row r="1619">
      <c r="A1619" t="inlineStr">
        <is>
          <t>280134</t>
        </is>
      </c>
      <c r="B1619" t="inlineStr">
        <is>
          <t>Kearney Regional Medical Center</t>
        </is>
      </c>
      <c r="C1619" t="inlineStr">
        <is>
          <t>NE</t>
        </is>
      </c>
      <c r="D1619" t="inlineStr">
        <is>
          <t>Micropolitan</t>
        </is>
      </c>
      <c r="E1619" s="5" t="n">
        <v>686</v>
      </c>
      <c r="F1619" s="4" t="n">
        <v>0.6180758017492711</v>
      </c>
      <c r="G1619" s="4" t="n">
        <v>0.537558735540277</v>
      </c>
      <c r="H1619" s="3" t="n">
        <v>12893723.7924325</v>
      </c>
      <c r="I1619" s="3" t="n">
        <v>-547008.6723600831</v>
      </c>
      <c r="J1619" s="4" t="n">
        <v>-0.0424244137043737</v>
      </c>
      <c r="K1619">
        <f>IF(AND(I1619&gt;0,J1619&gt;=Assumptions!$B$4),1,0)</f>
        <v/>
      </c>
      <c r="L1619" s="3">
        <f>I1619*K1619</f>
        <v/>
      </c>
      <c r="M1619">
        <f>SUM($K$2:K1619)</f>
        <v/>
      </c>
    </row>
    <row r="1620">
      <c r="A1620" t="inlineStr">
        <is>
          <t>310002</t>
        </is>
      </c>
      <c r="B1620" t="inlineStr">
        <is>
          <t>Newark Beth Israel Medical Center</t>
        </is>
      </c>
      <c r="C1620" t="inlineStr">
        <is>
          <t>NJ</t>
        </is>
      </c>
      <c r="D1620" t="inlineStr">
        <is>
          <t>Metropolitan</t>
        </is>
      </c>
      <c r="E1620" s="5" t="n">
        <v>820</v>
      </c>
      <c r="F1620" s="4" t="n">
        <v>0.698780487804878</v>
      </c>
      <c r="G1620" s="4" t="n">
        <v>0.6278196885157682</v>
      </c>
      <c r="H1620" s="3" t="n">
        <v>14615449.52152866</v>
      </c>
      <c r="I1620" s="3" t="n">
        <v>-548063.2622058112</v>
      </c>
      <c r="J1620" s="4" t="n">
        <v>-0.0374988987782079</v>
      </c>
      <c r="K1620">
        <f>IF(AND(I1620&gt;0,J1620&gt;=Assumptions!$B$4),1,0)</f>
        <v/>
      </c>
      <c r="L1620" s="3">
        <f>I1620*K1620</f>
        <v/>
      </c>
      <c r="M1620">
        <f>SUM($K$2:K1620)</f>
        <v/>
      </c>
    </row>
    <row r="1621">
      <c r="A1621" t="inlineStr">
        <is>
          <t>360017</t>
        </is>
      </c>
      <c r="B1621" t="inlineStr">
        <is>
          <t>Grant Medical Center</t>
        </is>
      </c>
      <c r="C1621" t="inlineStr">
        <is>
          <t>OH</t>
        </is>
      </c>
      <c r="D1621" t="inlineStr">
        <is>
          <t>Metropolitan</t>
        </is>
      </c>
      <c r="E1621" s="5" t="n">
        <v>1905</v>
      </c>
      <c r="F1621" s="4" t="n">
        <v>0.5228346456692914</v>
      </c>
      <c r="G1621" s="4" t="n">
        <v>0.507173808773508</v>
      </c>
      <c r="H1621" s="3" t="n">
        <v>35501915.18845453</v>
      </c>
      <c r="I1621" s="3" t="n">
        <v>-548331.4505825862</v>
      </c>
      <c r="J1621" s="4" t="n">
        <v>-0.0154451231059474</v>
      </c>
      <c r="K1621">
        <f>IF(AND(I1621&gt;0,J1621&gt;=Assumptions!$B$4),1,0)</f>
        <v/>
      </c>
      <c r="L1621" s="3">
        <f>I1621*K1621</f>
        <v/>
      </c>
      <c r="M1621">
        <f>SUM($K$2:K1621)</f>
        <v/>
      </c>
    </row>
    <row r="1622">
      <c r="A1622" t="inlineStr">
        <is>
          <t>450718</t>
        </is>
      </c>
      <c r="B1622" t="inlineStr">
        <is>
          <t>Round Rock Medical Center</t>
        </is>
      </c>
      <c r="C1622" t="inlineStr">
        <is>
          <t>TX</t>
        </is>
      </c>
      <c r="D1622" t="inlineStr">
        <is>
          <t>Metropolitan</t>
        </is>
      </c>
      <c r="E1622" s="5" t="n">
        <v>1703</v>
      </c>
      <c r="F1622" s="4" t="n">
        <v>0.5455079271873166</v>
      </c>
      <c r="G1622" s="4" t="n">
        <v>0.500299759525717</v>
      </c>
      <c r="H1622" s="3" t="n">
        <v>32577309.2364523</v>
      </c>
      <c r="I1622" s="3" t="n">
        <v>-553294.9677147642</v>
      </c>
      <c r="J1622" s="4" t="n">
        <v>-0.0169840597852586</v>
      </c>
      <c r="K1622">
        <f>IF(AND(I1622&gt;0,J1622&gt;=Assumptions!$B$4),1,0)</f>
        <v/>
      </c>
      <c r="L1622" s="3">
        <f>I1622*K1622</f>
        <v/>
      </c>
      <c r="M1622">
        <f>SUM($K$2:K1622)</f>
        <v/>
      </c>
    </row>
    <row r="1623">
      <c r="A1623" t="inlineStr">
        <is>
          <t>310050</t>
        </is>
      </c>
      <c r="B1623" t="inlineStr">
        <is>
          <t>Saint Clare's Hospital</t>
        </is>
      </c>
      <c r="C1623" t="inlineStr">
        <is>
          <t>NJ</t>
        </is>
      </c>
      <c r="D1623" t="inlineStr">
        <is>
          <t>Metropolitan</t>
        </is>
      </c>
      <c r="E1623" s="5" t="n">
        <v>2216</v>
      </c>
      <c r="F1623" s="4" t="n">
        <v>0.6425992779783394</v>
      </c>
      <c r="G1623" s="4" t="n">
        <v>0.6054438759611432</v>
      </c>
      <c r="H1623" s="3" t="n">
        <v>29647030.71656648</v>
      </c>
      <c r="I1623" s="3" t="n">
        <v>-554095.8349257447</v>
      </c>
      <c r="J1623" s="4" t="n">
        <v>-0.0186897581826338</v>
      </c>
      <c r="K1623">
        <f>IF(AND(I1623&gt;0,J1623&gt;=Assumptions!$B$4),1,0)</f>
        <v/>
      </c>
      <c r="L1623" s="3">
        <f>I1623*K1623</f>
        <v/>
      </c>
      <c r="M1623">
        <f>SUM($K$2:K1623)</f>
        <v/>
      </c>
    </row>
    <row r="1624">
      <c r="A1624" t="inlineStr">
        <is>
          <t>050125</t>
        </is>
      </c>
      <c r="B1624" t="inlineStr">
        <is>
          <t>Regional Medical Center Of San Jose</t>
        </is>
      </c>
      <c r="C1624" t="inlineStr">
        <is>
          <t>CA</t>
        </is>
      </c>
      <c r="D1624" t="inlineStr">
        <is>
          <t>Metropolitan</t>
        </is>
      </c>
      <c r="E1624" s="5" t="n">
        <v>1536</v>
      </c>
      <c r="F1624" s="4" t="n">
        <v>0.6881510416666666</v>
      </c>
      <c r="G1624" s="4" t="n">
        <v>0.6665585030905501</v>
      </c>
      <c r="H1624" s="3" t="n">
        <v>23398115.84191817</v>
      </c>
      <c r="I1624" s="3" t="n">
        <v>-554128.7393399961</v>
      </c>
      <c r="J1624" s="4" t="n">
        <v>-0.0236826222711174</v>
      </c>
      <c r="K1624">
        <f>IF(AND(I1624&gt;0,J1624&gt;=Assumptions!$B$4),1,0)</f>
        <v/>
      </c>
      <c r="L1624" s="3">
        <f>I1624*K1624</f>
        <v/>
      </c>
      <c r="M1624">
        <f>SUM($K$2:K1624)</f>
        <v/>
      </c>
    </row>
    <row r="1625">
      <c r="A1625" t="inlineStr">
        <is>
          <t>040016</t>
        </is>
      </c>
      <c r="B1625" t="inlineStr">
        <is>
          <t>Uams Medical Center</t>
        </is>
      </c>
      <c r="C1625" t="inlineStr">
        <is>
          <t>AR</t>
        </is>
      </c>
      <c r="D1625" t="inlineStr">
        <is>
          <t>Metropolitan</t>
        </is>
      </c>
      <c r="E1625" s="5" t="n">
        <v>2628</v>
      </c>
      <c r="F1625" s="4" t="n">
        <v>0.5502283105022832</v>
      </c>
      <c r="G1625" s="4" t="n">
        <v>0.5370955368171956</v>
      </c>
      <c r="H1625" s="3" t="n">
        <v>55003969.53442006</v>
      </c>
      <c r="I1625" s="3" t="n">
        <v>-556203.5599012002</v>
      </c>
      <c r="J1625" s="4" t="n">
        <v>-0.0101120621767696</v>
      </c>
      <c r="K1625">
        <f>IF(AND(I1625&gt;0,J1625&gt;=Assumptions!$B$4),1,0)</f>
        <v/>
      </c>
      <c r="L1625" s="3">
        <f>I1625*K1625</f>
        <v/>
      </c>
      <c r="M1625">
        <f>SUM($K$2:K1625)</f>
        <v/>
      </c>
    </row>
    <row r="1626">
      <c r="A1626" t="inlineStr">
        <is>
          <t>140174</t>
        </is>
      </c>
      <c r="B1626" t="inlineStr">
        <is>
          <t>Presence Mercy Medical Center</t>
        </is>
      </c>
      <c r="C1626" t="inlineStr">
        <is>
          <t>IL</t>
        </is>
      </c>
      <c r="D1626" t="inlineStr">
        <is>
          <t>Metropolitan</t>
        </is>
      </c>
      <c r="E1626" s="5" t="n">
        <v>648</v>
      </c>
      <c r="F1626" s="4" t="n">
        <v>0.8302469135802469</v>
      </c>
      <c r="G1626" s="4" t="n">
        <v>0.704289847200986</v>
      </c>
      <c r="H1626" s="3" t="n">
        <v>9108813.048175177</v>
      </c>
      <c r="I1626" s="3" t="n">
        <v>-556433.7447391544</v>
      </c>
      <c r="J1626" s="4" t="n">
        <v>-0.0610874042310735</v>
      </c>
      <c r="K1626">
        <f>IF(AND(I1626&gt;0,J1626&gt;=Assumptions!$B$4),1,0)</f>
        <v/>
      </c>
      <c r="L1626" s="3">
        <f>I1626*K1626</f>
        <v/>
      </c>
      <c r="M1626">
        <f>SUM($K$2:K1626)</f>
        <v/>
      </c>
    </row>
    <row r="1627">
      <c r="A1627" t="inlineStr">
        <is>
          <t>310029</t>
        </is>
      </c>
      <c r="B1627" t="inlineStr">
        <is>
          <t>Virtua Our Lady Of Lourdes Hospital</t>
        </is>
      </c>
      <c r="C1627" t="inlineStr">
        <is>
          <t>NJ</t>
        </is>
      </c>
      <c r="D1627" t="inlineStr">
        <is>
          <t>Metropolitan</t>
        </is>
      </c>
      <c r="E1627" s="5" t="n">
        <v>2133</v>
      </c>
      <c r="F1627" s="4" t="n">
        <v>0.6010314111579934</v>
      </c>
      <c r="G1627" s="4" t="n">
        <v>0.5855148150049929</v>
      </c>
      <c r="H1627" s="3" t="n">
        <v>41456371.24424388</v>
      </c>
      <c r="I1627" s="3" t="n">
        <v>-558871.8793780133</v>
      </c>
      <c r="J1627" s="4" t="n">
        <v>-0.0134809647493112</v>
      </c>
      <c r="K1627">
        <f>IF(AND(I1627&gt;0,J1627&gt;=Assumptions!$B$4),1,0)</f>
        <v/>
      </c>
      <c r="L1627" s="3">
        <f>I1627*K1627</f>
        <v/>
      </c>
      <c r="M1627">
        <f>SUM($K$2:K1627)</f>
        <v/>
      </c>
    </row>
    <row r="1628">
      <c r="A1628" t="inlineStr">
        <is>
          <t>440185</t>
        </is>
      </c>
      <c r="B1628" t="inlineStr">
        <is>
          <t>Tennova Healthcare-Cleveland</t>
        </is>
      </c>
      <c r="C1628" t="inlineStr">
        <is>
          <t>TN</t>
        </is>
      </c>
      <c r="D1628" t="inlineStr">
        <is>
          <t>Metropolitan</t>
        </is>
      </c>
      <c r="E1628" s="5" t="n">
        <v>1049</v>
      </c>
      <c r="F1628" s="4" t="n">
        <v>0.7330791229742613</v>
      </c>
      <c r="G1628" s="4" t="n">
        <v>0.6557033559810601</v>
      </c>
      <c r="H1628" s="3" t="n">
        <v>14145789.09306295</v>
      </c>
      <c r="I1628" s="3" t="n">
        <v>-561814.6384011246</v>
      </c>
      <c r="J1628" s="4" t="n">
        <v>-0.0397160338461879</v>
      </c>
      <c r="K1628">
        <f>IF(AND(I1628&gt;0,J1628&gt;=Assumptions!$B$4),1,0)</f>
        <v/>
      </c>
      <c r="L1628" s="3">
        <f>I1628*K1628</f>
        <v/>
      </c>
      <c r="M1628">
        <f>SUM($K$2:K1628)</f>
        <v/>
      </c>
    </row>
    <row r="1629">
      <c r="A1629" t="inlineStr">
        <is>
          <t>070035</t>
        </is>
      </c>
      <c r="B1629" t="inlineStr">
        <is>
          <t>Hospital Of Central Connecticut, The</t>
        </is>
      </c>
      <c r="C1629" t="inlineStr">
        <is>
          <t>CT</t>
        </is>
      </c>
      <c r="D1629" t="inlineStr">
        <is>
          <t>Metropolitan</t>
        </is>
      </c>
      <c r="E1629" s="5" t="n">
        <v>1757</v>
      </c>
      <c r="F1629" s="4" t="n">
        <v>0.6437108708025042</v>
      </c>
      <c r="G1629" s="4" t="n">
        <v>0.6235704642898272</v>
      </c>
      <c r="H1629" s="3" t="n">
        <v>25527151.40684274</v>
      </c>
      <c r="I1629" s="3" t="n">
        <v>-562530.5385544933</v>
      </c>
      <c r="J1629" s="4" t="n">
        <v>-0.0220365574516748</v>
      </c>
      <c r="K1629">
        <f>IF(AND(I1629&gt;0,J1629&gt;=Assumptions!$B$4),1,0)</f>
        <v/>
      </c>
      <c r="L1629" s="3">
        <f>I1629*K1629</f>
        <v/>
      </c>
      <c r="M1629">
        <f>SUM($K$2:K1629)</f>
        <v/>
      </c>
    </row>
    <row r="1630">
      <c r="A1630" t="inlineStr">
        <is>
          <t>110230</t>
        </is>
      </c>
      <c r="B1630" t="inlineStr">
        <is>
          <t>Emory Johns Creek Hospital</t>
        </is>
      </c>
      <c r="C1630" t="inlineStr">
        <is>
          <t>GA</t>
        </is>
      </c>
      <c r="D1630" t="inlineStr">
        <is>
          <t>Metropolitan</t>
        </is>
      </c>
      <c r="E1630" s="5" t="n">
        <v>1292</v>
      </c>
      <c r="F1630" s="4" t="n">
        <v>0.6455108359133127</v>
      </c>
      <c r="G1630" s="4" t="n">
        <v>0.611928508300122</v>
      </c>
      <c r="H1630" s="3" t="n">
        <v>18800404.73570372</v>
      </c>
      <c r="I1630" s="3" t="n">
        <v>-562869.2759696171</v>
      </c>
      <c r="J1630" s="4" t="n">
        <v>-0.0299392105586256</v>
      </c>
      <c r="K1630">
        <f>IF(AND(I1630&gt;0,J1630&gt;=Assumptions!$B$4),1,0)</f>
        <v/>
      </c>
      <c r="L1630" s="3">
        <f>I1630*K1630</f>
        <v/>
      </c>
      <c r="M1630">
        <f>SUM($K$2:K1630)</f>
        <v/>
      </c>
    </row>
    <row r="1631">
      <c r="A1631" t="inlineStr">
        <is>
          <t>070005</t>
        </is>
      </c>
      <c r="B1631" t="inlineStr">
        <is>
          <t>Waterbury Hospital</t>
        </is>
      </c>
      <c r="C1631" t="inlineStr">
        <is>
          <t>CT</t>
        </is>
      </c>
      <c r="D1631" t="inlineStr">
        <is>
          <t>Metropolitan</t>
        </is>
      </c>
      <c r="E1631" s="5" t="n">
        <v>1419</v>
      </c>
      <c r="F1631" s="4" t="n">
        <v>0.7293868921775899</v>
      </c>
      <c r="G1631" s="4" t="n">
        <v>0.6742449167610671</v>
      </c>
      <c r="H1631" s="3" t="n">
        <v>19618457.89941996</v>
      </c>
      <c r="I1631" s="3" t="n">
        <v>-568123.8146691471</v>
      </c>
      <c r="J1631" s="4" t="n">
        <v>-0.0289586377064807</v>
      </c>
      <c r="K1631">
        <f>IF(AND(I1631&gt;0,J1631&gt;=Assumptions!$B$4),1,0)</f>
        <v/>
      </c>
      <c r="L1631" s="3">
        <f>I1631*K1631</f>
        <v/>
      </c>
      <c r="M1631">
        <f>SUM($K$2:K1631)</f>
        <v/>
      </c>
    </row>
    <row r="1632">
      <c r="A1632" t="inlineStr">
        <is>
          <t>320085</t>
        </is>
      </c>
      <c r="B1632" t="inlineStr">
        <is>
          <t>Mountain View Regional Medical Center</t>
        </is>
      </c>
      <c r="C1632" t="inlineStr">
        <is>
          <t>NM</t>
        </is>
      </c>
      <c r="D1632" t="inlineStr">
        <is>
          <t>Metropolitan</t>
        </is>
      </c>
      <c r="E1632" s="5" t="n">
        <v>922</v>
      </c>
      <c r="F1632" s="4" t="n">
        <v>0.6540130151843818</v>
      </c>
      <c r="G1632" s="4" t="n">
        <v>0.6024512504738553</v>
      </c>
      <c r="H1632" s="3" t="n">
        <v>13840078.38592246</v>
      </c>
      <c r="I1632" s="3" t="n">
        <v>-569336.495177066</v>
      </c>
      <c r="J1632" s="4" t="n">
        <v>-0.041136797010931</v>
      </c>
      <c r="K1632">
        <f>IF(AND(I1632&gt;0,J1632&gt;=Assumptions!$B$4),1,0)</f>
        <v/>
      </c>
      <c r="L1632" s="3">
        <f>I1632*K1632</f>
        <v/>
      </c>
      <c r="M1632">
        <f>SUM($K$2:K1632)</f>
        <v/>
      </c>
    </row>
    <row r="1633">
      <c r="A1633" t="inlineStr">
        <is>
          <t>280020</t>
        </is>
      </c>
      <c r="B1633" t="inlineStr">
        <is>
          <t>Chi Health St Elizabeth</t>
        </is>
      </c>
      <c r="C1633" t="inlineStr">
        <is>
          <t>NE</t>
        </is>
      </c>
      <c r="D1633" t="inlineStr">
        <is>
          <t>Metropolitan</t>
        </is>
      </c>
      <c r="E1633" s="5" t="n">
        <v>817</v>
      </c>
      <c r="F1633" s="4" t="n">
        <v>0.7209302325581395</v>
      </c>
      <c r="G1633" s="4" t="n">
        <v>0.657822747428239</v>
      </c>
      <c r="H1633" s="3" t="n">
        <v>15648250.32813048</v>
      </c>
      <c r="I1633" s="3" t="n">
        <v>-571817.6738043334</v>
      </c>
      <c r="J1633" s="4" t="n">
        <v>-0.036541955925666</v>
      </c>
      <c r="K1633">
        <f>IF(AND(I1633&gt;0,J1633&gt;=Assumptions!$B$4),1,0)</f>
        <v/>
      </c>
      <c r="L1633" s="3">
        <f>I1633*K1633</f>
        <v/>
      </c>
      <c r="M1633">
        <f>SUM($K$2:K1633)</f>
        <v/>
      </c>
    </row>
    <row r="1634">
      <c r="A1634" t="inlineStr">
        <is>
          <t>130018</t>
        </is>
      </c>
      <c r="B1634" t="inlineStr">
        <is>
          <t>Eastern Idaho Regional Medical Center</t>
        </is>
      </c>
      <c r="C1634" t="inlineStr">
        <is>
          <t>ID</t>
        </is>
      </c>
      <c r="D1634" t="inlineStr">
        <is>
          <t>Metropolitan</t>
        </is>
      </c>
      <c r="E1634" s="5" t="n">
        <v>1122</v>
      </c>
      <c r="F1634" s="4" t="n">
        <v>0.5882352941176471</v>
      </c>
      <c r="G1634" s="4" t="n">
        <v>0.5355023414851592</v>
      </c>
      <c r="H1634" s="3" t="n">
        <v>22072961.05743105</v>
      </c>
      <c r="I1634" s="3" t="n">
        <v>-578312.4972411953</v>
      </c>
      <c r="J1634" s="4" t="n">
        <v>-0.0262000415683468</v>
      </c>
      <c r="K1634">
        <f>IF(AND(I1634&gt;0,J1634&gt;=Assumptions!$B$4),1,0)</f>
        <v/>
      </c>
      <c r="L1634" s="3">
        <f>I1634*K1634</f>
        <v/>
      </c>
      <c r="M1634">
        <f>SUM($K$2:K1634)</f>
        <v/>
      </c>
    </row>
    <row r="1635">
      <c r="A1635" t="inlineStr">
        <is>
          <t>330127</t>
        </is>
      </c>
      <c r="B1635" t="inlineStr">
        <is>
          <t>Jacobi Medical Center</t>
        </is>
      </c>
      <c r="C1635" t="inlineStr">
        <is>
          <t>NY</t>
        </is>
      </c>
      <c r="D1635" t="inlineStr">
        <is>
          <t>Metropolitan</t>
        </is>
      </c>
      <c r="E1635" s="5" t="n">
        <v>1535</v>
      </c>
      <c r="F1635" s="4" t="n">
        <v>0.634527687296417</v>
      </c>
      <c r="G1635" s="4" t="n">
        <v>0.5940829771533296</v>
      </c>
      <c r="H1635" s="3" t="n">
        <v>20931983.62254739</v>
      </c>
      <c r="I1635" s="3" t="n">
        <v>-579883.0170433931</v>
      </c>
      <c r="J1635" s="4" t="n">
        <v>-0.0277032042208727</v>
      </c>
      <c r="K1635">
        <f>IF(AND(I1635&gt;0,J1635&gt;=Assumptions!$B$4),1,0)</f>
        <v/>
      </c>
      <c r="L1635" s="3">
        <f>I1635*K1635</f>
        <v/>
      </c>
      <c r="M1635">
        <f>SUM($K$2:K1635)</f>
        <v/>
      </c>
    </row>
    <row r="1636">
      <c r="A1636" t="inlineStr">
        <is>
          <t>070006</t>
        </is>
      </c>
      <c r="B1636" t="inlineStr">
        <is>
          <t>Stamford Hospital</t>
        </is>
      </c>
      <c r="C1636" t="inlineStr">
        <is>
          <t>CT</t>
        </is>
      </c>
      <c r="D1636" t="inlineStr">
        <is>
          <t>Metropolitan</t>
        </is>
      </c>
      <c r="E1636" s="5" t="n">
        <v>2187</v>
      </c>
      <c r="F1636" s="4" t="n">
        <v>0.5797896662094193</v>
      </c>
      <c r="G1636" s="4" t="n">
        <v>0.5589014144217492</v>
      </c>
      <c r="H1636" s="3" t="n">
        <v>32762477.05463721</v>
      </c>
      <c r="I1636" s="3" t="n">
        <v>-581691.1158475392</v>
      </c>
      <c r="J1636" s="4" t="n">
        <v>-0.0177547965887153</v>
      </c>
      <c r="K1636">
        <f>IF(AND(I1636&gt;0,J1636&gt;=Assumptions!$B$4),1,0)</f>
        <v/>
      </c>
      <c r="L1636" s="3">
        <f>I1636*K1636</f>
        <v/>
      </c>
      <c r="M1636">
        <f>SUM($K$2:K1636)</f>
        <v/>
      </c>
    </row>
    <row r="1637">
      <c r="A1637" t="inlineStr">
        <is>
          <t>220119</t>
        </is>
      </c>
      <c r="B1637" t="inlineStr">
        <is>
          <t>Brigham And Women's Faulkner Hospital</t>
        </is>
      </c>
      <c r="C1637" t="inlineStr">
        <is>
          <t>MA</t>
        </is>
      </c>
      <c r="D1637" t="inlineStr">
        <is>
          <t>Metropolitan</t>
        </is>
      </c>
      <c r="E1637" s="5" t="n">
        <v>2244</v>
      </c>
      <c r="F1637" s="4" t="n">
        <v>0.6033868092691622</v>
      </c>
      <c r="G1637" s="4" t="n">
        <v>0.5848149106429478</v>
      </c>
      <c r="H1637" s="3" t="n">
        <v>28972770.63206795</v>
      </c>
      <c r="I1637" s="3" t="n">
        <v>-581740.3945229091</v>
      </c>
      <c r="J1637" s="4" t="n">
        <v>-0.0200788665299072</v>
      </c>
      <c r="K1637">
        <f>IF(AND(I1637&gt;0,J1637&gt;=Assumptions!$B$4),1,0)</f>
        <v/>
      </c>
      <c r="L1637" s="3">
        <f>I1637*K1637</f>
        <v/>
      </c>
      <c r="M1637">
        <f>SUM($K$2:K1637)</f>
        <v/>
      </c>
    </row>
    <row r="1638">
      <c r="A1638" t="inlineStr">
        <is>
          <t>360027</t>
        </is>
      </c>
      <c r="B1638" t="inlineStr">
        <is>
          <t>Akron General Medical Center</t>
        </is>
      </c>
      <c r="C1638" t="inlineStr">
        <is>
          <t>OH</t>
        </is>
      </c>
      <c r="D1638" t="inlineStr">
        <is>
          <t>Metropolitan</t>
        </is>
      </c>
      <c r="E1638" s="5" t="n">
        <v>2923</v>
      </c>
      <c r="F1638" s="4" t="n">
        <v>0.6123845364351693</v>
      </c>
      <c r="G1638" s="4" t="n">
        <v>0.5883728328019123</v>
      </c>
      <c r="H1638" s="3" t="n">
        <v>43524963.41016737</v>
      </c>
      <c r="I1638" s="3" t="n">
        <v>-583364.9291411266</v>
      </c>
      <c r="J1638" s="4" t="n">
        <v>-0.0134029964285932</v>
      </c>
      <c r="K1638">
        <f>IF(AND(I1638&gt;0,J1638&gt;=Assumptions!$B$4),1,0)</f>
        <v/>
      </c>
      <c r="L1638" s="3">
        <f>I1638*K1638</f>
        <v/>
      </c>
      <c r="M1638">
        <f>SUM($K$2:K1638)</f>
        <v/>
      </c>
    </row>
    <row r="1639">
      <c r="A1639" t="inlineStr">
        <is>
          <t>140191</t>
        </is>
      </c>
      <c r="B1639" t="inlineStr">
        <is>
          <t>Ingalls Memorial Hospital</t>
        </is>
      </c>
      <c r="C1639" t="inlineStr">
        <is>
          <t>IL</t>
        </is>
      </c>
      <c r="D1639" t="inlineStr">
        <is>
          <t>Metropolitan</t>
        </is>
      </c>
      <c r="E1639" s="5" t="n">
        <v>1061</v>
      </c>
      <c r="F1639" s="4" t="n">
        <v>0.7474081055607917</v>
      </c>
      <c r="G1639" s="4" t="n">
        <v>0.6954438407182932</v>
      </c>
      <c r="H1639" s="3" t="n">
        <v>15978911.5872024</v>
      </c>
      <c r="I1639" s="3" t="n">
        <v>-584287.0331397597</v>
      </c>
      <c r="J1639" s="4" t="n">
        <v>-0.0365661346801442</v>
      </c>
      <c r="K1639">
        <f>IF(AND(I1639&gt;0,J1639&gt;=Assumptions!$B$4),1,0)</f>
        <v/>
      </c>
      <c r="L1639" s="3">
        <f>I1639*K1639</f>
        <v/>
      </c>
      <c r="M1639">
        <f>SUM($K$2:K1639)</f>
        <v/>
      </c>
    </row>
    <row r="1640">
      <c r="A1640" t="inlineStr">
        <is>
          <t>050191</t>
        </is>
      </c>
      <c r="B1640" t="inlineStr">
        <is>
          <t>St Mary Medical Center</t>
        </is>
      </c>
      <c r="C1640" t="inlineStr">
        <is>
          <t>CA</t>
        </is>
      </c>
      <c r="D1640" t="inlineStr">
        <is>
          <t>Metropolitan</t>
        </is>
      </c>
      <c r="E1640" s="5" t="n">
        <v>665</v>
      </c>
      <c r="F1640" s="4" t="n">
        <v>0.8511278195488722</v>
      </c>
      <c r="G1640" s="4" t="n">
        <v>0.7393384611351311</v>
      </c>
      <c r="H1640" s="3" t="n">
        <v>10079941.2018387</v>
      </c>
      <c r="I1640" s="3" t="n">
        <v>-584746.3992710114</v>
      </c>
      <c r="J1640" s="4" t="n">
        <v>-0.0580108938695343</v>
      </c>
      <c r="K1640">
        <f>IF(AND(I1640&gt;0,J1640&gt;=Assumptions!$B$4),1,0)</f>
        <v/>
      </c>
      <c r="L1640" s="3">
        <f>I1640*K1640</f>
        <v/>
      </c>
      <c r="M1640">
        <f>SUM($K$2:K1640)</f>
        <v/>
      </c>
    </row>
    <row r="1641">
      <c r="A1641" t="inlineStr">
        <is>
          <t>500002</t>
        </is>
      </c>
      <c r="B1641" t="inlineStr">
        <is>
          <t>Providence St Mary Medical Center</t>
        </is>
      </c>
      <c r="C1641" t="inlineStr">
        <is>
          <t>WA</t>
        </is>
      </c>
      <c r="D1641" t="inlineStr">
        <is>
          <t>Metropolitan</t>
        </is>
      </c>
      <c r="E1641" s="5" t="n">
        <v>945</v>
      </c>
      <c r="F1641" s="4" t="n">
        <v>0.726984126984127</v>
      </c>
      <c r="G1641" s="4" t="n">
        <v>0.6575223788633661</v>
      </c>
      <c r="H1641" s="3" t="n">
        <v>13487618.74724667</v>
      </c>
      <c r="I1641" s="3" t="n">
        <v>-587100.626801163</v>
      </c>
      <c r="J1641" s="4" t="n">
        <v>-0.0435288569319185</v>
      </c>
      <c r="K1641">
        <f>IF(AND(I1641&gt;0,J1641&gt;=Assumptions!$B$4),1,0)</f>
        <v/>
      </c>
      <c r="L1641" s="3">
        <f>I1641*K1641</f>
        <v/>
      </c>
      <c r="M1641">
        <f>SUM($K$2:K1641)</f>
        <v/>
      </c>
    </row>
    <row r="1642">
      <c r="A1642" t="inlineStr">
        <is>
          <t>490004</t>
        </is>
      </c>
      <c r="B1642" t="inlineStr">
        <is>
          <t>Sentara Rmh Medical Center</t>
        </is>
      </c>
      <c r="C1642" t="inlineStr">
        <is>
          <t>VA</t>
        </is>
      </c>
      <c r="D1642" t="inlineStr">
        <is>
          <t>Metropolitan</t>
        </is>
      </c>
      <c r="E1642" s="5" t="n">
        <v>2715</v>
      </c>
      <c r="F1642" s="4" t="n">
        <v>0.6681399631675875</v>
      </c>
      <c r="G1642" s="4" t="n">
        <v>0.630055035556239</v>
      </c>
      <c r="H1642" s="3" t="n">
        <v>42875651.72369948</v>
      </c>
      <c r="I1642" s="3" t="n">
        <v>-589471.3784256801</v>
      </c>
      <c r="J1642" s="4" t="n">
        <v>-0.0137483945952441</v>
      </c>
      <c r="K1642">
        <f>IF(AND(I1642&gt;0,J1642&gt;=Assumptions!$B$4),1,0)</f>
        <v/>
      </c>
      <c r="L1642" s="3">
        <f>I1642*K1642</f>
        <v/>
      </c>
      <c r="M1642">
        <f>SUM($K$2:K1642)</f>
        <v/>
      </c>
    </row>
    <row r="1643">
      <c r="A1643" t="inlineStr">
        <is>
          <t>100236</t>
        </is>
      </c>
      <c r="B1643" t="inlineStr">
        <is>
          <t>Hca Florida Fawcett Hospital</t>
        </is>
      </c>
      <c r="C1643" t="inlineStr">
        <is>
          <t>FL</t>
        </is>
      </c>
      <c r="D1643" t="inlineStr">
        <is>
          <t>Metropolitan</t>
        </is>
      </c>
      <c r="E1643" s="5" t="n">
        <v>2423</v>
      </c>
      <c r="F1643" s="4" t="n">
        <v>0.5711927362773421</v>
      </c>
      <c r="G1643" s="4" t="n">
        <v>0.5422724092115104</v>
      </c>
      <c r="H1643" s="3" t="n">
        <v>42264124.41378801</v>
      </c>
      <c r="I1643" s="3" t="n">
        <v>-592881.47656551</v>
      </c>
      <c r="J1643" s="4" t="n">
        <v>-0.0140280080278225</v>
      </c>
      <c r="K1643">
        <f>IF(AND(I1643&gt;0,J1643&gt;=Assumptions!$B$4),1,0)</f>
        <v/>
      </c>
      <c r="L1643" s="3">
        <f>I1643*K1643</f>
        <v/>
      </c>
      <c r="M1643">
        <f>SUM($K$2:K1643)</f>
        <v/>
      </c>
    </row>
    <row r="1644">
      <c r="A1644" t="inlineStr">
        <is>
          <t>450711</t>
        </is>
      </c>
      <c r="B1644" t="inlineStr">
        <is>
          <t>Rio Grande Regional Hospital</t>
        </is>
      </c>
      <c r="C1644" t="inlineStr">
        <is>
          <t>TX</t>
        </is>
      </c>
      <c r="D1644" t="inlineStr">
        <is>
          <t>Metropolitan</t>
        </is>
      </c>
      <c r="E1644" s="5" t="n">
        <v>666</v>
      </c>
      <c r="F1644" s="4" t="n">
        <v>0.8093093093093093</v>
      </c>
      <c r="G1644" s="4" t="n">
        <v>0.6961252754346899</v>
      </c>
      <c r="H1644" s="3" t="n">
        <v>10297479.63378002</v>
      </c>
      <c r="I1644" s="3" t="n">
        <v>-593105.4553401228</v>
      </c>
      <c r="J1644" s="4" t="n">
        <v>-0.0575971476937415</v>
      </c>
      <c r="K1644">
        <f>IF(AND(I1644&gt;0,J1644&gt;=Assumptions!$B$4),1,0)</f>
        <v/>
      </c>
      <c r="L1644" s="3">
        <f>I1644*K1644</f>
        <v/>
      </c>
      <c r="M1644">
        <f>SUM($K$2:K1644)</f>
        <v/>
      </c>
    </row>
    <row r="1645">
      <c r="A1645" t="inlineStr">
        <is>
          <t>310024</t>
        </is>
      </c>
      <c r="B1645" t="inlineStr">
        <is>
          <t>Robert Wood Johnson University Hospital At Rahway</t>
        </is>
      </c>
      <c r="C1645" t="inlineStr">
        <is>
          <t>NJ</t>
        </is>
      </c>
      <c r="D1645" t="inlineStr">
        <is>
          <t>Metropolitan</t>
        </is>
      </c>
      <c r="E1645" s="5" t="n">
        <v>858</v>
      </c>
      <c r="F1645" s="4" t="n">
        <v>0.8158508158508159</v>
      </c>
      <c r="G1645" s="4" t="n">
        <v>0.713004814137384</v>
      </c>
      <c r="H1645" s="3" t="n">
        <v>12416572.76632067</v>
      </c>
      <c r="I1645" s="3" t="n">
        <v>-593911.0315172765</v>
      </c>
      <c r="J1645" s="4" t="n">
        <v>-0.0478321226553135</v>
      </c>
      <c r="K1645">
        <f>IF(AND(I1645&gt;0,J1645&gt;=Assumptions!$B$4),1,0)</f>
        <v/>
      </c>
      <c r="L1645" s="3">
        <f>I1645*K1645</f>
        <v/>
      </c>
      <c r="M1645">
        <f>SUM($K$2:K1645)</f>
        <v/>
      </c>
    </row>
    <row r="1646">
      <c r="A1646" t="inlineStr">
        <is>
          <t>450039</t>
        </is>
      </c>
      <c r="B1646" t="inlineStr">
        <is>
          <t>Jps Health Network</t>
        </is>
      </c>
      <c r="C1646" t="inlineStr">
        <is>
          <t>TX</t>
        </is>
      </c>
      <c r="D1646" t="inlineStr">
        <is>
          <t>Metropolitan</t>
        </is>
      </c>
      <c r="E1646" s="5" t="n">
        <v>764</v>
      </c>
      <c r="F1646" s="4" t="n">
        <v>0.7421465968586387</v>
      </c>
      <c r="G1646" s="4" t="n">
        <v>0.687935146182855</v>
      </c>
      <c r="H1646" s="3" t="n">
        <v>11819779.78626444</v>
      </c>
      <c r="I1646" s="3" t="n">
        <v>-594017.7962761726</v>
      </c>
      <c r="J1646" s="4" t="n">
        <v>-0.0502562490179783</v>
      </c>
      <c r="K1646">
        <f>IF(AND(I1646&gt;0,J1646&gt;=Assumptions!$B$4),1,0)</f>
        <v/>
      </c>
      <c r="L1646" s="3">
        <f>I1646*K1646</f>
        <v/>
      </c>
      <c r="M1646">
        <f>SUM($K$2:K1646)</f>
        <v/>
      </c>
    </row>
    <row r="1647">
      <c r="A1647" t="inlineStr">
        <is>
          <t>350006</t>
        </is>
      </c>
      <c r="B1647" t="inlineStr">
        <is>
          <t>Trinity Hospitals</t>
        </is>
      </c>
      <c r="C1647" t="inlineStr">
        <is>
          <t>ND</t>
        </is>
      </c>
      <c r="D1647" t="inlineStr">
        <is>
          <t>Micropolitan</t>
        </is>
      </c>
      <c r="E1647" s="5" t="n">
        <v>1246</v>
      </c>
      <c r="F1647" s="4" t="n">
        <v>0.6966292134831461</v>
      </c>
      <c r="G1647" s="4" t="n">
        <v>0.6192886908733681</v>
      </c>
      <c r="H1647" s="3" t="n">
        <v>17564997.09810804</v>
      </c>
      <c r="I1647" s="3" t="n">
        <v>-600572.1272649094</v>
      </c>
      <c r="J1647" s="4" t="n">
        <v>-0.0341914162530432</v>
      </c>
      <c r="K1647">
        <f>IF(AND(I1647&gt;0,J1647&gt;=Assumptions!$B$4),1,0)</f>
        <v/>
      </c>
      <c r="L1647" s="3">
        <f>I1647*K1647</f>
        <v/>
      </c>
      <c r="M1647">
        <f>SUM($K$2:K1647)</f>
        <v/>
      </c>
    </row>
    <row r="1648">
      <c r="A1648" t="inlineStr">
        <is>
          <t>260027</t>
        </is>
      </c>
      <c r="B1648" t="inlineStr">
        <is>
          <t>Research Medical Center</t>
        </is>
      </c>
      <c r="C1648" t="inlineStr">
        <is>
          <t>MO</t>
        </is>
      </c>
      <c r="D1648" t="inlineStr">
        <is>
          <t>Metropolitan</t>
        </is>
      </c>
      <c r="E1648" s="5" t="n">
        <v>1179</v>
      </c>
      <c r="F1648" s="4" t="n">
        <v>0.5869380831212893</v>
      </c>
      <c r="G1648" s="4" t="n">
        <v>0.5505175639941724</v>
      </c>
      <c r="H1648" s="3" t="n">
        <v>24156904.48238908</v>
      </c>
      <c r="I1648" s="3" t="n">
        <v>-605641.0020033643</v>
      </c>
      <c r="J1648" s="4" t="n">
        <v>-0.0250711345257373</v>
      </c>
      <c r="K1648">
        <f>IF(AND(I1648&gt;0,J1648&gt;=Assumptions!$B$4),1,0)</f>
        <v/>
      </c>
      <c r="L1648" s="3">
        <f>I1648*K1648</f>
        <v/>
      </c>
      <c r="M1648">
        <f>SUM($K$2:K1648)</f>
        <v/>
      </c>
    </row>
    <row r="1649">
      <c r="A1649" t="inlineStr">
        <is>
          <t>110010</t>
        </is>
      </c>
      <c r="B1649" t="inlineStr">
        <is>
          <t>Emory University Hospital</t>
        </is>
      </c>
      <c r="C1649" t="inlineStr">
        <is>
          <t>GA</t>
        </is>
      </c>
      <c r="D1649" t="inlineStr">
        <is>
          <t>Metropolitan</t>
        </is>
      </c>
      <c r="E1649" s="5" t="n">
        <v>3574</v>
      </c>
      <c r="F1649" s="4" t="n">
        <v>0.5724678231673195</v>
      </c>
      <c r="G1649" s="4" t="n">
        <v>0.5685197232028784</v>
      </c>
      <c r="H1649" s="3" t="n">
        <v>74876431.46791084</v>
      </c>
      <c r="I1649" s="3" t="n">
        <v>-612036.9373393208</v>
      </c>
      <c r="J1649" s="4" t="n">
        <v>-0.008173959753966301</v>
      </c>
      <c r="K1649">
        <f>IF(AND(I1649&gt;0,J1649&gt;=Assumptions!$B$4),1,0)</f>
        <v/>
      </c>
      <c r="L1649" s="3">
        <f>I1649*K1649</f>
        <v/>
      </c>
      <c r="M1649">
        <f>SUM($K$2:K1649)</f>
        <v/>
      </c>
    </row>
    <row r="1650">
      <c r="A1650" t="inlineStr">
        <is>
          <t>330180</t>
        </is>
      </c>
      <c r="B1650" t="inlineStr">
        <is>
          <t>Samaritan Hospital</t>
        </is>
      </c>
      <c r="C1650" t="inlineStr">
        <is>
          <t>NY</t>
        </is>
      </c>
      <c r="D1650" t="inlineStr">
        <is>
          <t>Metropolitan</t>
        </is>
      </c>
      <c r="E1650" s="5" t="n">
        <v>1365</v>
      </c>
      <c r="F1650" s="4" t="n">
        <v>0.7501831501831502</v>
      </c>
      <c r="G1650" s="4" t="n">
        <v>0.6804254565593451</v>
      </c>
      <c r="H1650" s="3" t="n">
        <v>18837160.10031144</v>
      </c>
      <c r="I1650" s="3" t="n">
        <v>-613686.3009070829</v>
      </c>
      <c r="J1650" s="4" t="n">
        <v>-0.0325784936603547</v>
      </c>
      <c r="K1650">
        <f>IF(AND(I1650&gt;0,J1650&gt;=Assumptions!$B$4),1,0)</f>
        <v/>
      </c>
      <c r="L1650" s="3">
        <f>I1650*K1650</f>
        <v/>
      </c>
      <c r="M1650">
        <f>SUM($K$2:K1650)</f>
        <v/>
      </c>
    </row>
    <row r="1651">
      <c r="A1651" t="inlineStr">
        <is>
          <t>110008</t>
        </is>
      </c>
      <c r="B1651" t="inlineStr">
        <is>
          <t>Northside Hospital Cherokee</t>
        </is>
      </c>
      <c r="C1651" t="inlineStr">
        <is>
          <t>GA</t>
        </is>
      </c>
      <c r="D1651" t="inlineStr">
        <is>
          <t>Metropolitan</t>
        </is>
      </c>
      <c r="E1651" s="5" t="n">
        <v>2889</v>
      </c>
      <c r="F1651" s="4" t="n">
        <v>0.6213222568362755</v>
      </c>
      <c r="G1651" s="4" t="n">
        <v>0.5588259906914537</v>
      </c>
      <c r="H1651" s="3" t="n">
        <v>45196193.08397355</v>
      </c>
      <c r="I1651" s="3" t="n">
        <v>-614132.3979335427</v>
      </c>
      <c r="J1651" s="4" t="n">
        <v>-0.0135881443995182</v>
      </c>
      <c r="K1651">
        <f>IF(AND(I1651&gt;0,J1651&gt;=Assumptions!$B$4),1,0)</f>
        <v/>
      </c>
      <c r="L1651" s="3">
        <f>I1651*K1651</f>
        <v/>
      </c>
      <c r="M1651">
        <f>SUM($K$2:K1651)</f>
        <v/>
      </c>
    </row>
    <row r="1652">
      <c r="A1652" t="inlineStr">
        <is>
          <t>050351</t>
        </is>
      </c>
      <c r="B1652" t="inlineStr">
        <is>
          <t>Torrance Memorial Medical Center</t>
        </is>
      </c>
      <c r="C1652" t="inlineStr">
        <is>
          <t>CA</t>
        </is>
      </c>
      <c r="D1652" t="inlineStr">
        <is>
          <t>Unclassified</t>
        </is>
      </c>
      <c r="E1652" s="5" t="n">
        <v>4038</v>
      </c>
      <c r="F1652" s="4" t="n">
        <v>0.5705794947994056</v>
      </c>
      <c r="G1652" s="4" t="n">
        <v>0.5680833183256294</v>
      </c>
      <c r="H1652" s="3" t="n">
        <v>62190365.42818659</v>
      </c>
      <c r="I1652" s="3" t="n">
        <v>-619859.7359179556</v>
      </c>
      <c r="J1652" s="4" t="n">
        <v>-0.0099671344853847</v>
      </c>
      <c r="K1652">
        <f>IF(AND(I1652&gt;0,J1652&gt;=Assumptions!$B$4),1,0)</f>
        <v/>
      </c>
      <c r="L1652" s="3">
        <f>I1652*K1652</f>
        <v/>
      </c>
      <c r="M1652">
        <f>SUM($K$2:K1652)</f>
        <v/>
      </c>
    </row>
    <row r="1653">
      <c r="A1653" t="inlineStr">
        <is>
          <t>100128</t>
        </is>
      </c>
      <c r="B1653" t="inlineStr">
        <is>
          <t>Tampa General Hospital</t>
        </is>
      </c>
      <c r="C1653" t="inlineStr">
        <is>
          <t>FL</t>
        </is>
      </c>
      <c r="D1653" t="inlineStr">
        <is>
          <t>Metropolitan</t>
        </is>
      </c>
      <c r="E1653" s="5" t="n">
        <v>6199</v>
      </c>
      <c r="F1653" s="4" t="n">
        <v>0.4860461364736247</v>
      </c>
      <c r="G1653" s="4" t="n">
        <v>0.5206278553803096</v>
      </c>
      <c r="H1653" s="3" t="n">
        <v>120290084.5156816</v>
      </c>
      <c r="I1653" s="3" t="n">
        <v>-621385.6488154233</v>
      </c>
      <c r="J1653" s="4" t="n">
        <v>-0.0051657262634512</v>
      </c>
      <c r="K1653">
        <f>IF(AND(I1653&gt;0,J1653&gt;=Assumptions!$B$4),1,0)</f>
        <v/>
      </c>
      <c r="L1653" s="3">
        <f>I1653*K1653</f>
        <v/>
      </c>
      <c r="M1653">
        <f>SUM($K$2:K1653)</f>
        <v/>
      </c>
    </row>
    <row r="1654">
      <c r="A1654" t="inlineStr">
        <is>
          <t>230244</t>
        </is>
      </c>
      <c r="B1654" t="inlineStr">
        <is>
          <t>Garden City Hospital</t>
        </is>
      </c>
      <c r="C1654" t="inlineStr">
        <is>
          <t>MI</t>
        </is>
      </c>
      <c r="D1654" t="inlineStr">
        <is>
          <t>Metropolitan</t>
        </is>
      </c>
      <c r="E1654" s="5" t="n">
        <v>832</v>
      </c>
      <c r="F1654" s="4" t="n">
        <v>0.7728365384615384</v>
      </c>
      <c r="G1654" s="4" t="n">
        <v>0.6744953981529833</v>
      </c>
      <c r="H1654" s="3" t="n">
        <v>11625556.96427513</v>
      </c>
      <c r="I1654" s="3" t="n">
        <v>-622427.5005436074</v>
      </c>
      <c r="J1654" s="4" t="n">
        <v>-0.0535395854543831</v>
      </c>
      <c r="K1654">
        <f>IF(AND(I1654&gt;0,J1654&gt;=Assumptions!$B$4),1,0)</f>
        <v/>
      </c>
      <c r="L1654" s="3">
        <f>I1654*K1654</f>
        <v/>
      </c>
      <c r="M1654">
        <f>SUM($K$2:K1654)</f>
        <v/>
      </c>
    </row>
    <row r="1655">
      <c r="A1655" t="inlineStr">
        <is>
          <t>500151</t>
        </is>
      </c>
      <c r="B1655" t="inlineStr">
        <is>
          <t>St Anthony Hospital</t>
        </is>
      </c>
      <c r="C1655" t="inlineStr">
        <is>
          <t>WA</t>
        </is>
      </c>
      <c r="D1655" t="inlineStr">
        <is>
          <t>Metropolitan</t>
        </is>
      </c>
      <c r="E1655" s="5" t="n">
        <v>1549</v>
      </c>
      <c r="F1655" s="4" t="n">
        <v>0.6752743705616526</v>
      </c>
      <c r="G1655" s="4" t="n">
        <v>0.6199564190967997</v>
      </c>
      <c r="H1655" s="3" t="n">
        <v>21018732.49398964</v>
      </c>
      <c r="I1655" s="3" t="n">
        <v>-623432.5408653729</v>
      </c>
      <c r="J1655" s="4" t="n">
        <v>-0.0296608057143143</v>
      </c>
      <c r="K1655">
        <f>IF(AND(I1655&gt;0,J1655&gt;=Assumptions!$B$4),1,0)</f>
        <v/>
      </c>
      <c r="L1655" s="3">
        <f>I1655*K1655</f>
        <v/>
      </c>
      <c r="M1655">
        <f>SUM($K$2:K1655)</f>
        <v/>
      </c>
    </row>
    <row r="1656">
      <c r="A1656" t="inlineStr">
        <is>
          <t>450209</t>
        </is>
      </c>
      <c r="B1656" t="inlineStr">
        <is>
          <t>Northwest Texas Hospital</t>
        </is>
      </c>
      <c r="C1656" t="inlineStr">
        <is>
          <t>TX</t>
        </is>
      </c>
      <c r="D1656" t="inlineStr">
        <is>
          <t>Metropolitan</t>
        </is>
      </c>
      <c r="E1656" s="5" t="n">
        <v>1200</v>
      </c>
      <c r="F1656" s="4" t="n">
        <v>0.7225</v>
      </c>
      <c r="G1656" s="4" t="n">
        <v>0.6459622532369539</v>
      </c>
      <c r="H1656" s="3" t="n">
        <v>18888089.64375732</v>
      </c>
      <c r="I1656" s="3" t="n">
        <v>-626650.2938590162</v>
      </c>
      <c r="J1656" s="4" t="n">
        <v>-0.0331770076105144</v>
      </c>
      <c r="K1656">
        <f>IF(AND(I1656&gt;0,J1656&gt;=Assumptions!$B$4),1,0)</f>
        <v/>
      </c>
      <c r="L1656" s="3">
        <f>I1656*K1656</f>
        <v/>
      </c>
      <c r="M1656">
        <f>SUM($K$2:K1656)</f>
        <v/>
      </c>
    </row>
    <row r="1657">
      <c r="A1657" t="inlineStr">
        <is>
          <t>330233</t>
        </is>
      </c>
      <c r="B1657" t="inlineStr">
        <is>
          <t>Brookdale Hospital Medical Center</t>
        </is>
      </c>
      <c r="C1657" t="inlineStr">
        <is>
          <t>NY</t>
        </is>
      </c>
      <c r="D1657" t="inlineStr">
        <is>
          <t>Metropolitan</t>
        </is>
      </c>
      <c r="E1657" s="5" t="n">
        <v>1312</v>
      </c>
      <c r="F1657" s="4" t="n">
        <v>0.6783536585365854</v>
      </c>
      <c r="G1657" s="4" t="n">
        <v>0.6279910218462009</v>
      </c>
      <c r="H1657" s="3" t="n">
        <v>17900732.61757047</v>
      </c>
      <c r="I1657" s="3" t="n">
        <v>-630508.5669192076</v>
      </c>
      <c r="J1657" s="4" t="n">
        <v>-0.0352225006869457</v>
      </c>
      <c r="K1657">
        <f>IF(AND(I1657&gt;0,J1657&gt;=Assumptions!$B$4),1,0)</f>
        <v/>
      </c>
      <c r="L1657" s="3">
        <f>I1657*K1657</f>
        <v/>
      </c>
      <c r="M1657">
        <f>SUM($K$2:K1657)</f>
        <v/>
      </c>
    </row>
    <row r="1658">
      <c r="A1658" t="inlineStr">
        <is>
          <t>240004</t>
        </is>
      </c>
      <c r="B1658" t="inlineStr">
        <is>
          <t>Hennepin County Medical Center</t>
        </is>
      </c>
      <c r="C1658" t="inlineStr">
        <is>
          <t>MN</t>
        </is>
      </c>
      <c r="D1658" t="inlineStr">
        <is>
          <t>Metropolitan</t>
        </is>
      </c>
      <c r="E1658" s="5" t="n">
        <v>762</v>
      </c>
      <c r="F1658" s="4" t="n">
        <v>0.7467191601049868</v>
      </c>
      <c r="G1658" s="4" t="n">
        <v>0.631805403907212</v>
      </c>
      <c r="H1658" s="3" t="n">
        <v>13095844.60417643</v>
      </c>
      <c r="I1658" s="3" t="n">
        <v>-633464.9496434834</v>
      </c>
      <c r="J1658" s="4" t="n">
        <v>-0.0483714467290993</v>
      </c>
      <c r="K1658">
        <f>IF(AND(I1658&gt;0,J1658&gt;=Assumptions!$B$4),1,0)</f>
        <v/>
      </c>
      <c r="L1658" s="3">
        <f>I1658*K1658</f>
        <v/>
      </c>
      <c r="M1658">
        <f>SUM($K$2:K1658)</f>
        <v/>
      </c>
    </row>
    <row r="1659">
      <c r="A1659" t="inlineStr">
        <is>
          <t>050230</t>
        </is>
      </c>
      <c r="B1659" t="inlineStr">
        <is>
          <t>Garden Grove Hospital &amp; Medical Center</t>
        </is>
      </c>
      <c r="C1659" t="inlineStr">
        <is>
          <t>CA</t>
        </is>
      </c>
      <c r="D1659" t="inlineStr">
        <is>
          <t>Metropolitan</t>
        </is>
      </c>
      <c r="E1659" s="5" t="n">
        <v>681</v>
      </c>
      <c r="F1659" s="4" t="n">
        <v>0.8414096916299559</v>
      </c>
      <c r="G1659" s="4" t="n">
        <v>0.7063083482176971</v>
      </c>
      <c r="H1659" s="3" t="n">
        <v>9893139.253087878</v>
      </c>
      <c r="I1659" s="3" t="n">
        <v>-637731.9398555364</v>
      </c>
      <c r="J1659" s="4" t="n">
        <v>-0.064462040161467</v>
      </c>
      <c r="K1659">
        <f>IF(AND(I1659&gt;0,J1659&gt;=Assumptions!$B$4),1,0)</f>
        <v/>
      </c>
      <c r="L1659" s="3">
        <f>I1659*K1659</f>
        <v/>
      </c>
      <c r="M1659">
        <f>SUM($K$2:K1659)</f>
        <v/>
      </c>
    </row>
    <row r="1660">
      <c r="A1660" t="inlineStr">
        <is>
          <t>050305</t>
        </is>
      </c>
      <c r="B1660" t="inlineStr">
        <is>
          <t>Alta Bates Summit Medical Center - Alta Bates Camp</t>
        </is>
      </c>
      <c r="C1660" t="inlineStr">
        <is>
          <t>CA</t>
        </is>
      </c>
      <c r="D1660" t="inlineStr">
        <is>
          <t>Metropolitan</t>
        </is>
      </c>
      <c r="E1660" s="5" t="n">
        <v>1062</v>
      </c>
      <c r="F1660" s="4" t="n">
        <v>0.7288135593220338</v>
      </c>
      <c r="G1660" s="4" t="n">
        <v>0.6840958302539244</v>
      </c>
      <c r="H1660" s="3" t="n">
        <v>16372679.73161053</v>
      </c>
      <c r="I1660" s="3" t="n">
        <v>-638416.6328258496</v>
      </c>
      <c r="J1660" s="4" t="n">
        <v>-0.038992800402323</v>
      </c>
      <c r="K1660">
        <f>IF(AND(I1660&gt;0,J1660&gt;=Assumptions!$B$4),1,0)</f>
        <v/>
      </c>
      <c r="L1660" s="3">
        <f>I1660*K1660</f>
        <v/>
      </c>
      <c r="M1660">
        <f>SUM($K$2:K1660)</f>
        <v/>
      </c>
    </row>
    <row r="1661">
      <c r="A1661" t="inlineStr">
        <is>
          <t>330394</t>
        </is>
      </c>
      <c r="B1661" t="inlineStr">
        <is>
          <t>United Health Services Hospitals, Inc</t>
        </is>
      </c>
      <c r="C1661" t="inlineStr">
        <is>
          <t>NY</t>
        </is>
      </c>
      <c r="D1661" t="inlineStr">
        <is>
          <t>Metropolitan</t>
        </is>
      </c>
      <c r="E1661" s="5" t="n">
        <v>1949</v>
      </c>
      <c r="F1661" s="4" t="n">
        <v>0.6146741918932787</v>
      </c>
      <c r="G1661" s="4" t="n">
        <v>0.5928816256501661</v>
      </c>
      <c r="H1661" s="3" t="n">
        <v>36305236.9028052</v>
      </c>
      <c r="I1661" s="3" t="n">
        <v>-638900.6773820445</v>
      </c>
      <c r="J1661" s="4" t="n">
        <v>-0.0175980308045498</v>
      </c>
      <c r="K1661">
        <f>IF(AND(I1661&gt;0,J1661&gt;=Assumptions!$B$4),1,0)</f>
        <v/>
      </c>
      <c r="L1661" s="3">
        <f>I1661*K1661</f>
        <v/>
      </c>
      <c r="M1661">
        <f>SUM($K$2:K1661)</f>
        <v/>
      </c>
    </row>
    <row r="1662">
      <c r="A1662" t="inlineStr">
        <is>
          <t>050045</t>
        </is>
      </c>
      <c r="B1662" t="inlineStr">
        <is>
          <t>El Centro Regional Medical Center</t>
        </is>
      </c>
      <c r="C1662" t="inlineStr">
        <is>
          <t>CA</t>
        </is>
      </c>
      <c r="D1662" t="inlineStr">
        <is>
          <t>Metropolitan</t>
        </is>
      </c>
      <c r="E1662" s="5" t="n">
        <v>783</v>
      </c>
      <c r="F1662" s="4" t="n">
        <v>0.7713920817369093</v>
      </c>
      <c r="G1662" s="4" t="n">
        <v>0.6673783852585364</v>
      </c>
      <c r="H1662" s="3" t="n">
        <v>10912942.81903128</v>
      </c>
      <c r="I1662" s="3" t="n">
        <v>-640571.5857486371</v>
      </c>
      <c r="J1662" s="4" t="n">
        <v>-0.0586983361290533</v>
      </c>
      <c r="K1662">
        <f>IF(AND(I1662&gt;0,J1662&gt;=Assumptions!$B$4),1,0)</f>
        <v/>
      </c>
      <c r="L1662" s="3">
        <f>I1662*K1662</f>
        <v/>
      </c>
      <c r="M1662">
        <f>SUM($K$2:K1662)</f>
        <v/>
      </c>
    </row>
    <row r="1663">
      <c r="A1663" t="inlineStr">
        <is>
          <t>060014</t>
        </is>
      </c>
      <c r="B1663" t="inlineStr">
        <is>
          <t>Presbyterian/St Luke's Medical Center</t>
        </is>
      </c>
      <c r="C1663" t="inlineStr">
        <is>
          <t>CO</t>
        </is>
      </c>
      <c r="D1663" t="inlineStr">
        <is>
          <t>Metropolitan</t>
        </is>
      </c>
      <c r="E1663" s="5" t="n">
        <v>484</v>
      </c>
      <c r="F1663" s="4" t="n">
        <v>0.6115702479338843</v>
      </c>
      <c r="G1663" s="4" t="n">
        <v>0.5700711551667378</v>
      </c>
      <c r="H1663" s="3" t="n">
        <v>14524304.49406012</v>
      </c>
      <c r="I1663" s="3" t="n">
        <v>-642541.0141544435</v>
      </c>
      <c r="J1663" s="4" t="n">
        <v>-0.0442390211811669</v>
      </c>
      <c r="K1663">
        <f>IF(AND(I1663&gt;0,J1663&gt;=Assumptions!$B$4),1,0)</f>
        <v/>
      </c>
      <c r="L1663" s="3">
        <f>I1663*K1663</f>
        <v/>
      </c>
      <c r="M1663">
        <f>SUM($K$2:K1663)</f>
        <v/>
      </c>
    </row>
    <row r="1664">
      <c r="A1664" t="inlineStr">
        <is>
          <t>360064</t>
        </is>
      </c>
      <c r="B1664" t="inlineStr">
        <is>
          <t>Mh St Elizabeth Youngstown Hospital</t>
        </is>
      </c>
      <c r="C1664" t="inlineStr">
        <is>
          <t>OH</t>
        </is>
      </c>
      <c r="D1664" t="inlineStr">
        <is>
          <t>Metropolitan</t>
        </is>
      </c>
      <c r="E1664" s="5" t="n">
        <v>2470</v>
      </c>
      <c r="F1664" s="4" t="n">
        <v>0.5530364372469636</v>
      </c>
      <c r="G1664" s="4" t="n">
        <v>0.5627209676154113</v>
      </c>
      <c r="H1664" s="3" t="n">
        <v>38402818.25592369</v>
      </c>
      <c r="I1664" s="3" t="n">
        <v>-647789.6010007709</v>
      </c>
      <c r="J1664" s="4" t="n">
        <v>-0.0168682828610071</v>
      </c>
      <c r="K1664">
        <f>IF(AND(I1664&gt;0,J1664&gt;=Assumptions!$B$4),1,0)</f>
        <v/>
      </c>
      <c r="L1664" s="3">
        <f>I1664*K1664</f>
        <v/>
      </c>
      <c r="M1664">
        <f>SUM($K$2:K1664)</f>
        <v/>
      </c>
    </row>
    <row r="1665">
      <c r="A1665" t="inlineStr">
        <is>
          <t>180040</t>
        </is>
      </c>
      <c r="B1665" t="inlineStr">
        <is>
          <t>Uofl Health - Jewish Hospital</t>
        </is>
      </c>
      <c r="C1665" t="inlineStr">
        <is>
          <t>KY</t>
        </is>
      </c>
      <c r="D1665" t="inlineStr">
        <is>
          <t>Metropolitan</t>
        </is>
      </c>
      <c r="E1665" s="5" t="n">
        <v>2558</v>
      </c>
      <c r="F1665" s="4" t="n">
        <v>0.547302580140735</v>
      </c>
      <c r="G1665" s="4" t="n">
        <v>0.5582802430852675</v>
      </c>
      <c r="H1665" s="3" t="n">
        <v>49515607.9096908</v>
      </c>
      <c r="I1665" s="3" t="n">
        <v>-653784.6434116289</v>
      </c>
      <c r="J1665" s="4" t="n">
        <v>-0.0132036073272903</v>
      </c>
      <c r="K1665">
        <f>IF(AND(I1665&gt;0,J1665&gt;=Assumptions!$B$4),1,0)</f>
        <v/>
      </c>
      <c r="L1665" s="3">
        <f>I1665*K1665</f>
        <v/>
      </c>
      <c r="M1665">
        <f>SUM($K$2:K1665)</f>
        <v/>
      </c>
    </row>
    <row r="1666">
      <c r="A1666" t="inlineStr">
        <is>
          <t>230132</t>
        </is>
      </c>
      <c r="B1666" t="inlineStr">
        <is>
          <t>Hurley Medical Center</t>
        </is>
      </c>
      <c r="C1666" t="inlineStr">
        <is>
          <t>MI</t>
        </is>
      </c>
      <c r="D1666" t="inlineStr">
        <is>
          <t>Metropolitan</t>
        </is>
      </c>
      <c r="E1666" s="5" t="n">
        <v>874</v>
      </c>
      <c r="F1666" s="4" t="n">
        <v>0.7276887871853547</v>
      </c>
      <c r="G1666" s="4" t="n">
        <v>0.6456646946481535</v>
      </c>
      <c r="H1666" s="3" t="n">
        <v>12030842.08650275</v>
      </c>
      <c r="I1666" s="3" t="n">
        <v>-655819.9935218357</v>
      </c>
      <c r="J1666" s="4" t="n">
        <v>-0.0545115619344378</v>
      </c>
      <c r="K1666">
        <f>IF(AND(I1666&gt;0,J1666&gt;=Assumptions!$B$4),1,0)</f>
        <v/>
      </c>
      <c r="L1666" s="3">
        <f>I1666*K1666</f>
        <v/>
      </c>
      <c r="M1666">
        <f>SUM($K$2:K1666)</f>
        <v/>
      </c>
    </row>
    <row r="1667">
      <c r="A1667" t="inlineStr">
        <is>
          <t>500141</t>
        </is>
      </c>
      <c r="B1667" t="inlineStr">
        <is>
          <t>St Francis Community Hospital</t>
        </is>
      </c>
      <c r="C1667" t="inlineStr">
        <is>
          <t>WA</t>
        </is>
      </c>
      <c r="D1667" t="inlineStr">
        <is>
          <t>Metropolitan</t>
        </is>
      </c>
      <c r="E1667" s="5" t="n">
        <v>916</v>
      </c>
      <c r="F1667" s="4" t="n">
        <v>0.7783842794759825</v>
      </c>
      <c r="G1667" s="4" t="n">
        <v>0.683294514463786</v>
      </c>
      <c r="H1667" s="3" t="n">
        <v>13388517.2571889</v>
      </c>
      <c r="I1667" s="3" t="n">
        <v>-659930.5609879028</v>
      </c>
      <c r="J1667" s="4" t="n">
        <v>-0.0492907876436844</v>
      </c>
      <c r="K1667">
        <f>IF(AND(I1667&gt;0,J1667&gt;=Assumptions!$B$4),1,0)</f>
        <v/>
      </c>
      <c r="L1667" s="3">
        <f>I1667*K1667</f>
        <v/>
      </c>
      <c r="M1667">
        <f>SUM($K$2:K1667)</f>
        <v/>
      </c>
    </row>
    <row r="1668">
      <c r="A1668" t="inlineStr">
        <is>
          <t>500077</t>
        </is>
      </c>
      <c r="B1668" t="inlineStr">
        <is>
          <t>Providence Holy Family Hospital</t>
        </is>
      </c>
      <c r="C1668" t="inlineStr">
        <is>
          <t>WA</t>
        </is>
      </c>
      <c r="D1668" t="inlineStr">
        <is>
          <t>Metropolitan</t>
        </is>
      </c>
      <c r="E1668" s="5" t="n">
        <v>955</v>
      </c>
      <c r="F1668" s="4" t="n">
        <v>0.7539267015706806</v>
      </c>
      <c r="G1668" s="4" t="n">
        <v>0.665697249143295</v>
      </c>
      <c r="H1668" s="3" t="n">
        <v>16011098.5593391</v>
      </c>
      <c r="I1668" s="3" t="n">
        <v>-660403.9446963109</v>
      </c>
      <c r="J1668" s="4" t="n">
        <v>-0.0412466354041087</v>
      </c>
      <c r="K1668">
        <f>IF(AND(I1668&gt;0,J1668&gt;=Assumptions!$B$4),1,0)</f>
        <v/>
      </c>
      <c r="L1668" s="3">
        <f>I1668*K1668</f>
        <v/>
      </c>
      <c r="M1668">
        <f>SUM($K$2:K1668)</f>
        <v/>
      </c>
    </row>
    <row r="1669">
      <c r="A1669" t="inlineStr">
        <is>
          <t>140291</t>
        </is>
      </c>
      <c r="B1669" t="inlineStr">
        <is>
          <t>Advocate Good Shepherd Hospital</t>
        </is>
      </c>
      <c r="C1669" t="inlineStr">
        <is>
          <t>IL</t>
        </is>
      </c>
      <c r="D1669" t="inlineStr">
        <is>
          <t>Metropolitan</t>
        </is>
      </c>
      <c r="E1669" s="5" t="n">
        <v>2677</v>
      </c>
      <c r="F1669" s="4" t="n">
        <v>0.6021666044079194</v>
      </c>
      <c r="G1669" s="4" t="n">
        <v>0.5915062559537153</v>
      </c>
      <c r="H1669" s="3" t="n">
        <v>40845341.70405338</v>
      </c>
      <c r="I1669" s="3" t="n">
        <v>-662950.5781898573</v>
      </c>
      <c r="J1669" s="4" t="n">
        <v>-0.0162307511831653</v>
      </c>
      <c r="K1669">
        <f>IF(AND(I1669&gt;0,J1669&gt;=Assumptions!$B$4),1,0)</f>
        <v/>
      </c>
      <c r="L1669" s="3">
        <f>I1669*K1669</f>
        <v/>
      </c>
      <c r="M1669">
        <f>SUM($K$2:K1669)</f>
        <v/>
      </c>
    </row>
    <row r="1670">
      <c r="A1670" t="inlineStr">
        <is>
          <t>050570</t>
        </is>
      </c>
      <c r="B1670" t="inlineStr">
        <is>
          <t>Uci Health – Fountain Valley</t>
        </is>
      </c>
      <c r="C1670" t="inlineStr">
        <is>
          <t>CA</t>
        </is>
      </c>
      <c r="D1670" t="inlineStr">
        <is>
          <t>Metropolitan</t>
        </is>
      </c>
      <c r="E1670" s="5" t="n">
        <v>1551</v>
      </c>
      <c r="F1670" s="4" t="n">
        <v>0.6795615731785944</v>
      </c>
      <c r="G1670" s="4" t="n">
        <v>0.6484903281344726</v>
      </c>
      <c r="H1670" s="3" t="n">
        <v>21280493.66783401</v>
      </c>
      <c r="I1670" s="3" t="n">
        <v>-665768.904544808</v>
      </c>
      <c r="J1670" s="4" t="n">
        <v>-0.0312854069523365</v>
      </c>
      <c r="K1670">
        <f>IF(AND(I1670&gt;0,J1670&gt;=Assumptions!$B$4),1,0)</f>
        <v/>
      </c>
      <c r="L1670" s="3">
        <f>I1670*K1670</f>
        <v/>
      </c>
      <c r="M1670">
        <f>SUM($K$2:K1670)</f>
        <v/>
      </c>
    </row>
    <row r="1671">
      <c r="A1671" t="inlineStr">
        <is>
          <t>050243</t>
        </is>
      </c>
      <c r="B1671" t="inlineStr">
        <is>
          <t>Desert Regional Medical Center</t>
        </is>
      </c>
      <c r="C1671" t="inlineStr">
        <is>
          <t>CA</t>
        </is>
      </c>
      <c r="D1671" t="inlineStr">
        <is>
          <t>Metropolitan</t>
        </is>
      </c>
      <c r="E1671" s="5" t="n">
        <v>1557</v>
      </c>
      <c r="F1671" s="4" t="n">
        <v>0.5863840719332049</v>
      </c>
      <c r="G1671" s="4" t="n">
        <v>0.5500479851739809</v>
      </c>
      <c r="H1671" s="3" t="n">
        <v>23619401.89089503</v>
      </c>
      <c r="I1671" s="3" t="n">
        <v>-666139.7254531644</v>
      </c>
      <c r="J1671" s="4" t="n">
        <v>-0.0282030734110143</v>
      </c>
      <c r="K1671">
        <f>IF(AND(I1671&gt;0,J1671&gt;=Assumptions!$B$4),1,0)</f>
        <v/>
      </c>
      <c r="L1671" s="3">
        <f>I1671*K1671</f>
        <v/>
      </c>
      <c r="M1671">
        <f>SUM($K$2:K1671)</f>
        <v/>
      </c>
    </row>
    <row r="1672">
      <c r="A1672" t="inlineStr">
        <is>
          <t>450847</t>
        </is>
      </c>
      <c r="B1672" t="inlineStr">
        <is>
          <t>Memorial Hermann Katy Hospital</t>
        </is>
      </c>
      <c r="C1672" t="inlineStr">
        <is>
          <t>TX</t>
        </is>
      </c>
      <c r="D1672" t="inlineStr">
        <is>
          <t>Metropolitan</t>
        </is>
      </c>
      <c r="E1672" s="5" t="n">
        <v>1564</v>
      </c>
      <c r="F1672" s="4" t="n">
        <v>0.6604859335038363</v>
      </c>
      <c r="G1672" s="4" t="n">
        <v>0.616469337960266</v>
      </c>
      <c r="H1672" s="3" t="n">
        <v>23670109.02093129</v>
      </c>
      <c r="I1672" s="3" t="n">
        <v>-667668.7918235287</v>
      </c>
      <c r="J1672" s="4" t="n">
        <v>-0.0282072546109996</v>
      </c>
      <c r="K1672">
        <f>IF(AND(I1672&gt;0,J1672&gt;=Assumptions!$B$4),1,0)</f>
        <v/>
      </c>
      <c r="L1672" s="3">
        <f>I1672*K1672</f>
        <v/>
      </c>
      <c r="M1672">
        <f>SUM($K$2:K1672)</f>
        <v/>
      </c>
    </row>
    <row r="1673">
      <c r="A1673" t="inlineStr">
        <is>
          <t>050226</t>
        </is>
      </c>
      <c r="B1673" t="inlineStr">
        <is>
          <t>Ahmc Anaheim Regional Medical Center</t>
        </is>
      </c>
      <c r="C1673" t="inlineStr">
        <is>
          <t>CA</t>
        </is>
      </c>
      <c r="D1673" t="inlineStr">
        <is>
          <t>Metropolitan</t>
        </is>
      </c>
      <c r="E1673" s="5" t="n">
        <v>553</v>
      </c>
      <c r="F1673" s="4" t="n">
        <v>0.9023508137432188</v>
      </c>
      <c r="G1673" s="4" t="n">
        <v>0.7458006717584624</v>
      </c>
      <c r="H1673" s="3" t="n">
        <v>8623878.479309505</v>
      </c>
      <c r="I1673" s="3" t="n">
        <v>-668817.1799831968</v>
      </c>
      <c r="J1673" s="4" t="n">
        <v>-0.07755410533529999</v>
      </c>
      <c r="K1673">
        <f>IF(AND(I1673&gt;0,J1673&gt;=Assumptions!$B$4),1,0)</f>
        <v/>
      </c>
      <c r="L1673" s="3">
        <f>I1673*K1673</f>
        <v/>
      </c>
      <c r="M1673">
        <f>SUM($K$2:K1673)</f>
        <v/>
      </c>
    </row>
    <row r="1674">
      <c r="A1674" t="inlineStr">
        <is>
          <t>500124</t>
        </is>
      </c>
      <c r="B1674" t="inlineStr">
        <is>
          <t>Evergreenhealth Medical Center</t>
        </is>
      </c>
      <c r="C1674" t="inlineStr">
        <is>
          <t>WA</t>
        </is>
      </c>
      <c r="D1674" t="inlineStr">
        <is>
          <t>Metropolitan</t>
        </is>
      </c>
      <c r="E1674" s="5" t="n">
        <v>2317</v>
      </c>
      <c r="F1674" s="4" t="n">
        <v>0.612861458782909</v>
      </c>
      <c r="G1674" s="4" t="n">
        <v>0.5604980755356697</v>
      </c>
      <c r="H1674" s="3" t="n">
        <v>34722153.91390537</v>
      </c>
      <c r="I1674" s="3" t="n">
        <v>-669721.6609088853</v>
      </c>
      <c r="J1674" s="4" t="n">
        <v>-0.0192880217791062</v>
      </c>
      <c r="K1674">
        <f>IF(AND(I1674&gt;0,J1674&gt;=Assumptions!$B$4),1,0)</f>
        <v/>
      </c>
      <c r="L1674" s="3">
        <f>I1674*K1674</f>
        <v/>
      </c>
      <c r="M1674">
        <f>SUM($K$2:K1674)</f>
        <v/>
      </c>
    </row>
    <row r="1675">
      <c r="A1675" t="inlineStr">
        <is>
          <t>260119</t>
        </is>
      </c>
      <c r="B1675" t="inlineStr">
        <is>
          <t>Poplar Bluff Regional Medical Center</t>
        </is>
      </c>
      <c r="C1675" t="inlineStr">
        <is>
          <t>MO</t>
        </is>
      </c>
      <c r="D1675" t="inlineStr">
        <is>
          <t>Micropolitan</t>
        </is>
      </c>
      <c r="E1675" s="5" t="n">
        <v>1350</v>
      </c>
      <c r="F1675" s="4" t="n">
        <v>0.7014814814814815</v>
      </c>
      <c r="G1675" s="4" t="n">
        <v>0.6372483426018241</v>
      </c>
      <c r="H1675" s="3" t="n">
        <v>18539580.29309206</v>
      </c>
      <c r="I1675" s="3" t="n">
        <v>-671556.5706395693</v>
      </c>
      <c r="J1675" s="4" t="n">
        <v>-0.0362228572612182</v>
      </c>
      <c r="K1675">
        <f>IF(AND(I1675&gt;0,J1675&gt;=Assumptions!$B$4),1,0)</f>
        <v/>
      </c>
      <c r="L1675" s="3">
        <f>I1675*K1675</f>
        <v/>
      </c>
      <c r="M1675">
        <f>SUM($K$2:K1675)</f>
        <v/>
      </c>
    </row>
    <row r="1676">
      <c r="A1676" t="inlineStr">
        <is>
          <t>190160</t>
        </is>
      </c>
      <c r="B1676" t="inlineStr">
        <is>
          <t>Glenwood Regional Medical Center</t>
        </is>
      </c>
      <c r="C1676" t="inlineStr">
        <is>
          <t>LA</t>
        </is>
      </c>
      <c r="D1676" t="inlineStr">
        <is>
          <t>Metropolitan</t>
        </is>
      </c>
      <c r="E1676" s="5" t="n">
        <v>1430</v>
      </c>
      <c r="F1676" s="4" t="n">
        <v>0.6629370629370629</v>
      </c>
      <c r="G1676" s="4" t="n">
        <v>0.583983242417051</v>
      </c>
      <c r="H1676" s="3" t="n">
        <v>19708347.27182822</v>
      </c>
      <c r="I1676" s="3" t="n">
        <v>-671717.1497707106</v>
      </c>
      <c r="J1676" s="4" t="n">
        <v>-0.0340828756722227</v>
      </c>
      <c r="K1676">
        <f>IF(AND(I1676&gt;0,J1676&gt;=Assumptions!$B$4),1,0)</f>
        <v/>
      </c>
      <c r="L1676" s="3">
        <f>I1676*K1676</f>
        <v/>
      </c>
      <c r="M1676">
        <f>SUM($K$2:K1676)</f>
        <v/>
      </c>
    </row>
    <row r="1677">
      <c r="A1677" t="inlineStr">
        <is>
          <t>110075</t>
        </is>
      </c>
      <c r="B1677" t="inlineStr">
        <is>
          <t>East Georgia Regional Medical Center</t>
        </is>
      </c>
      <c r="C1677" t="inlineStr">
        <is>
          <t>GA</t>
        </is>
      </c>
      <c r="D1677" t="inlineStr">
        <is>
          <t>Micropolitan</t>
        </is>
      </c>
      <c r="E1677" s="5" t="n">
        <v>1038</v>
      </c>
      <c r="F1677" s="4" t="n">
        <v>0.7090558766859345</v>
      </c>
      <c r="G1677" s="4" t="n">
        <v>0.6390929963307053</v>
      </c>
      <c r="H1677" s="3" t="n">
        <v>14728255.3786095</v>
      </c>
      <c r="I1677" s="3" t="n">
        <v>-673146.3262683619</v>
      </c>
      <c r="J1677" s="4" t="n">
        <v>-0.0457044170517305</v>
      </c>
      <c r="K1677">
        <f>IF(AND(I1677&gt;0,J1677&gt;=Assumptions!$B$4),1,0)</f>
        <v/>
      </c>
      <c r="L1677" s="3">
        <f>I1677*K1677</f>
        <v/>
      </c>
      <c r="M1677">
        <f>SUM($K$2:K1677)</f>
        <v/>
      </c>
    </row>
    <row r="1678">
      <c r="A1678" t="inlineStr">
        <is>
          <t>490040</t>
        </is>
      </c>
      <c r="B1678" t="inlineStr">
        <is>
          <t>Inova Alexandria Hospital</t>
        </is>
      </c>
      <c r="C1678" t="inlineStr">
        <is>
          <t>VA</t>
        </is>
      </c>
      <c r="D1678" t="inlineStr">
        <is>
          <t>Metropolitan</t>
        </is>
      </c>
      <c r="E1678" s="5" t="n">
        <v>2814</v>
      </c>
      <c r="F1678" s="4" t="n">
        <v>0.6389481165600569</v>
      </c>
      <c r="G1678" s="4" t="n">
        <v>0.6029104001862491</v>
      </c>
      <c r="H1678" s="3" t="n">
        <v>40413581.98549287</v>
      </c>
      <c r="I1678" s="3" t="n">
        <v>-679857.1837987676</v>
      </c>
      <c r="J1678" s="4" t="n">
        <v>-0.0168224925977314</v>
      </c>
      <c r="K1678">
        <f>IF(AND(I1678&gt;0,J1678&gt;=Assumptions!$B$4),1,0)</f>
        <v/>
      </c>
      <c r="L1678" s="3">
        <f>I1678*K1678</f>
        <v/>
      </c>
      <c r="M1678">
        <f>SUM($K$2:K1678)</f>
        <v/>
      </c>
    </row>
    <row r="1679">
      <c r="A1679" t="inlineStr">
        <is>
          <t>280125</t>
        </is>
      </c>
      <c r="B1679" t="inlineStr">
        <is>
          <t>Faith Regional Health Services</t>
        </is>
      </c>
      <c r="C1679" t="inlineStr">
        <is>
          <t>NE</t>
        </is>
      </c>
      <c r="D1679" t="inlineStr">
        <is>
          <t>Micropolitan</t>
        </is>
      </c>
      <c r="E1679" s="5" t="n">
        <v>801</v>
      </c>
      <c r="F1679" s="4" t="n">
        <v>0.7191011235955056</v>
      </c>
      <c r="G1679" s="4" t="n">
        <v>0.6265638424855353</v>
      </c>
      <c r="H1679" s="3" t="n">
        <v>12679461.8175034</v>
      </c>
      <c r="I1679" s="3" t="n">
        <v>-680128.8744112011</v>
      </c>
      <c r="J1679" s="4" t="n">
        <v>-0.0536402005227315</v>
      </c>
      <c r="K1679">
        <f>IF(AND(I1679&gt;0,J1679&gt;=Assumptions!$B$4),1,0)</f>
        <v/>
      </c>
      <c r="L1679" s="3">
        <f>I1679*K1679</f>
        <v/>
      </c>
      <c r="M1679">
        <f>SUM($K$2:K1679)</f>
        <v/>
      </c>
    </row>
    <row r="1680">
      <c r="A1680" t="inlineStr">
        <is>
          <t>050455</t>
        </is>
      </c>
      <c r="B1680" t="inlineStr">
        <is>
          <t>Adventist Health Bakersfield</t>
        </is>
      </c>
      <c r="C1680" t="inlineStr">
        <is>
          <t>CA</t>
        </is>
      </c>
      <c r="D1680" t="inlineStr">
        <is>
          <t>Metropolitan</t>
        </is>
      </c>
      <c r="E1680" s="5" t="n">
        <v>1631</v>
      </c>
      <c r="F1680" s="4" t="n">
        <v>0.721030042918455</v>
      </c>
      <c r="G1680" s="4" t="n">
        <v>0.6575877624101485</v>
      </c>
      <c r="H1680" s="3" t="n">
        <v>25653217.37280228</v>
      </c>
      <c r="I1680" s="3" t="n">
        <v>-681892.9062042162</v>
      </c>
      <c r="J1680" s="4" t="n">
        <v>-0.0265811845857262</v>
      </c>
      <c r="K1680">
        <f>IF(AND(I1680&gt;0,J1680&gt;=Assumptions!$B$4),1,0)</f>
        <v/>
      </c>
      <c r="L1680" s="3">
        <f>I1680*K1680</f>
        <v/>
      </c>
      <c r="M1680">
        <f>SUM($K$2:K1680)</f>
        <v/>
      </c>
    </row>
    <row r="1681">
      <c r="A1681" t="inlineStr">
        <is>
          <t>320005</t>
        </is>
      </c>
      <c r="B1681" t="inlineStr">
        <is>
          <t>San Juan Regional Medical Center Inc</t>
        </is>
      </c>
      <c r="C1681" t="inlineStr">
        <is>
          <t>NM</t>
        </is>
      </c>
      <c r="D1681" t="inlineStr">
        <is>
          <t>Metropolitan</t>
        </is>
      </c>
      <c r="E1681" s="5" t="n">
        <v>1352</v>
      </c>
      <c r="F1681" s="4" t="n">
        <v>0.7559171597633136</v>
      </c>
      <c r="G1681" s="4" t="n">
        <v>0.6835755343653962</v>
      </c>
      <c r="H1681" s="3" t="n">
        <v>19760630.38958634</v>
      </c>
      <c r="I1681" s="3" t="n">
        <v>-683252.0776318721</v>
      </c>
      <c r="J1681" s="4" t="n">
        <v>-0.0345764312251869</v>
      </c>
      <c r="K1681">
        <f>IF(AND(I1681&gt;0,J1681&gt;=Assumptions!$B$4),1,0)</f>
        <v/>
      </c>
      <c r="L1681" s="3">
        <f>I1681*K1681</f>
        <v/>
      </c>
      <c r="M1681">
        <f>SUM($K$2:K1681)</f>
        <v/>
      </c>
    </row>
    <row r="1682">
      <c r="A1682" t="inlineStr">
        <is>
          <t>500024</t>
        </is>
      </c>
      <c r="B1682" t="inlineStr">
        <is>
          <t>Providence St Peter Hospital</t>
        </is>
      </c>
      <c r="C1682" t="inlineStr">
        <is>
          <t>WA</t>
        </is>
      </c>
      <c r="D1682" t="inlineStr">
        <is>
          <t>Metropolitan</t>
        </is>
      </c>
      <c r="E1682" s="5" t="n">
        <v>3174</v>
      </c>
      <c r="F1682" s="4" t="n">
        <v>0.5485192186515437</v>
      </c>
      <c r="G1682" s="4" t="n">
        <v>0.5266962193411941</v>
      </c>
      <c r="H1682" s="3" t="n">
        <v>64584105.99495134</v>
      </c>
      <c r="I1682" s="3" t="n">
        <v>-684445.1106047332</v>
      </c>
      <c r="J1682" s="4" t="n">
        <v>-0.0105977329880239</v>
      </c>
      <c r="K1682">
        <f>IF(AND(I1682&gt;0,J1682&gt;=Assumptions!$B$4),1,0)</f>
        <v/>
      </c>
      <c r="L1682" s="3">
        <f>I1682*K1682</f>
        <v/>
      </c>
      <c r="M1682">
        <f>SUM($K$2:K1682)</f>
        <v/>
      </c>
    </row>
    <row r="1683">
      <c r="A1683" t="inlineStr">
        <is>
          <t>070025</t>
        </is>
      </c>
      <c r="B1683" t="inlineStr">
        <is>
          <t>Hartford Hospital</t>
        </is>
      </c>
      <c r="C1683" t="inlineStr">
        <is>
          <t>CT</t>
        </is>
      </c>
      <c r="D1683" t="inlineStr">
        <is>
          <t>Metropolitan</t>
        </is>
      </c>
      <c r="E1683" s="5" t="n">
        <v>6527</v>
      </c>
      <c r="F1683" s="4" t="n">
        <v>0.5521679178795771</v>
      </c>
      <c r="G1683" s="4" t="n">
        <v>0.5339146198159543</v>
      </c>
      <c r="H1683" s="3" t="n">
        <v>120594798.2820952</v>
      </c>
      <c r="I1683" s="3" t="n">
        <v>-686648.1159933507</v>
      </c>
      <c r="J1683" s="4" t="n">
        <v>-0.0056938452219733</v>
      </c>
      <c r="K1683">
        <f>IF(AND(I1683&gt;0,J1683&gt;=Assumptions!$B$4),1,0)</f>
        <v/>
      </c>
      <c r="L1683" s="3">
        <f>I1683*K1683</f>
        <v/>
      </c>
      <c r="M1683">
        <f>SUM($K$2:K1683)</f>
        <v/>
      </c>
    </row>
    <row r="1684">
      <c r="A1684" t="inlineStr">
        <is>
          <t>030002</t>
        </is>
      </c>
      <c r="B1684" t="inlineStr">
        <is>
          <t>Banner - University Medical Center Phoenix</t>
        </is>
      </c>
      <c r="C1684" t="inlineStr">
        <is>
          <t>AZ</t>
        </is>
      </c>
      <c r="D1684" t="inlineStr">
        <is>
          <t>Metropolitan</t>
        </is>
      </c>
      <c r="E1684" s="5" t="n">
        <v>2016</v>
      </c>
      <c r="F1684" s="4" t="n">
        <v>0.6125992063492064</v>
      </c>
      <c r="G1684" s="4" t="n">
        <v>0.5673616825744485</v>
      </c>
      <c r="H1684" s="3" t="n">
        <v>45762277.53491618</v>
      </c>
      <c r="I1684" s="3" t="n">
        <v>-686730.7274420485</v>
      </c>
      <c r="J1684" s="4" t="n">
        <v>-0.0150064805432395</v>
      </c>
      <c r="K1684">
        <f>IF(AND(I1684&gt;0,J1684&gt;=Assumptions!$B$4),1,0)</f>
        <v/>
      </c>
      <c r="L1684" s="3">
        <f>I1684*K1684</f>
        <v/>
      </c>
      <c r="M1684">
        <f>SUM($K$2:K1684)</f>
        <v/>
      </c>
    </row>
    <row r="1685">
      <c r="A1685" t="inlineStr">
        <is>
          <t>050709</t>
        </is>
      </c>
      <c r="B1685" t="inlineStr">
        <is>
          <t>Desert Valley Hospital</t>
        </is>
      </c>
      <c r="C1685" t="inlineStr">
        <is>
          <t>CA</t>
        </is>
      </c>
      <c r="D1685" t="inlineStr">
        <is>
          <t>Metropolitan</t>
        </is>
      </c>
      <c r="E1685" s="5" t="n">
        <v>977</v>
      </c>
      <c r="F1685" s="4" t="n">
        <v>0.8034800409416581</v>
      </c>
      <c r="G1685" s="4" t="n">
        <v>0.6984005934782596</v>
      </c>
      <c r="H1685" s="3" t="n">
        <v>13522230.96251842</v>
      </c>
      <c r="I1685" s="3" t="n">
        <v>-693927.0023732278</v>
      </c>
      <c r="J1685" s="4" t="n">
        <v>-0.0513174937106671</v>
      </c>
      <c r="K1685">
        <f>IF(AND(I1685&gt;0,J1685&gt;=Assumptions!$B$4),1,0)</f>
        <v/>
      </c>
      <c r="L1685" s="3">
        <f>I1685*K1685</f>
        <v/>
      </c>
      <c r="M1685">
        <f>SUM($K$2:K1685)</f>
        <v/>
      </c>
    </row>
    <row r="1686">
      <c r="A1686" t="inlineStr">
        <is>
          <t>010144</t>
        </is>
      </c>
      <c r="B1686" t="inlineStr">
        <is>
          <t>Springhill Memorial Hospital</t>
        </is>
      </c>
      <c r="C1686" t="inlineStr">
        <is>
          <t>AL</t>
        </is>
      </c>
      <c r="D1686" t="inlineStr">
        <is>
          <t>Metropolitan</t>
        </is>
      </c>
      <c r="E1686" s="5" t="n">
        <v>955</v>
      </c>
      <c r="F1686" s="4" t="n">
        <v>0.5287958115183246</v>
      </c>
      <c r="G1686" s="4" t="n">
        <v>0.4610919628771443</v>
      </c>
      <c r="H1686" s="3" t="n">
        <v>19461716.74149725</v>
      </c>
      <c r="I1686" s="3" t="n">
        <v>-695181.6266668178</v>
      </c>
      <c r="J1686" s="4" t="n">
        <v>-0.0357204678241214</v>
      </c>
      <c r="K1686">
        <f>IF(AND(I1686&gt;0,J1686&gt;=Assumptions!$B$4),1,0)</f>
        <v/>
      </c>
      <c r="L1686" s="3">
        <f>I1686*K1686</f>
        <v/>
      </c>
      <c r="M1686">
        <f>SUM($K$2:K1686)</f>
        <v/>
      </c>
    </row>
    <row r="1687">
      <c r="A1687" t="inlineStr">
        <is>
          <t>050390</t>
        </is>
      </c>
      <c r="B1687" t="inlineStr">
        <is>
          <t>Hemet Global Medical Center</t>
        </is>
      </c>
      <c r="C1687" t="inlineStr">
        <is>
          <t>CA</t>
        </is>
      </c>
      <c r="D1687" t="inlineStr">
        <is>
          <t>Metropolitan</t>
        </is>
      </c>
      <c r="E1687" s="5" t="n">
        <v>727</v>
      </c>
      <c r="F1687" s="4" t="n">
        <v>0.8418156808803301</v>
      </c>
      <c r="G1687" s="4" t="n">
        <v>0.7291447322667183</v>
      </c>
      <c r="H1687" s="3" t="n">
        <v>10765530.16035708</v>
      </c>
      <c r="I1687" s="3" t="n">
        <v>-695887.3344852142</v>
      </c>
      <c r="J1687" s="4" t="n">
        <v>-0.06464032185314431</v>
      </c>
      <c r="K1687">
        <f>IF(AND(I1687&gt;0,J1687&gt;=Assumptions!$B$4),1,0)</f>
        <v/>
      </c>
      <c r="L1687" s="3">
        <f>I1687*K1687</f>
        <v/>
      </c>
      <c r="M1687">
        <f>SUM($K$2:K1687)</f>
        <v/>
      </c>
    </row>
    <row r="1688">
      <c r="A1688" t="inlineStr">
        <is>
          <t>040004</t>
        </is>
      </c>
      <c r="B1688" t="inlineStr">
        <is>
          <t>Washington Regional Medical Center</t>
        </is>
      </c>
      <c r="C1688" t="inlineStr">
        <is>
          <t>AR</t>
        </is>
      </c>
      <c r="D1688" t="inlineStr">
        <is>
          <t>Metropolitan</t>
        </is>
      </c>
      <c r="E1688" s="5" t="n">
        <v>2621</v>
      </c>
      <c r="F1688" s="4" t="n">
        <v>0.5589469668065624</v>
      </c>
      <c r="G1688" s="4" t="n">
        <v>0.5219438510384701</v>
      </c>
      <c r="H1688" s="3" t="n">
        <v>48236296.96417506</v>
      </c>
      <c r="I1688" s="3" t="n">
        <v>-696206.4765095785</v>
      </c>
      <c r="J1688" s="4" t="n">
        <v>-0.0144332488256021</v>
      </c>
      <c r="K1688">
        <f>IF(AND(I1688&gt;0,J1688&gt;=Assumptions!$B$4),1,0)</f>
        <v/>
      </c>
      <c r="L1688" s="3">
        <f>I1688*K1688</f>
        <v/>
      </c>
      <c r="M1688">
        <f>SUM($K$2:K1688)</f>
        <v/>
      </c>
    </row>
    <row r="1689">
      <c r="A1689" t="inlineStr">
        <is>
          <t>250034</t>
        </is>
      </c>
      <c r="B1689" t="inlineStr">
        <is>
          <t>Baptist Memorial Hospital North Ms</t>
        </is>
      </c>
      <c r="C1689" t="inlineStr">
        <is>
          <t>MS</t>
        </is>
      </c>
      <c r="D1689" t="inlineStr">
        <is>
          <t>Micropolitan</t>
        </is>
      </c>
      <c r="E1689" s="5" t="n">
        <v>3435</v>
      </c>
      <c r="F1689" s="4" t="n">
        <v>0.6678311499272198</v>
      </c>
      <c r="G1689" s="4" t="n">
        <v>0.616289836197863</v>
      </c>
      <c r="H1689" s="3" t="n">
        <v>50190211.00147779</v>
      </c>
      <c r="I1689" s="3" t="n">
        <v>-696737.1217928156</v>
      </c>
      <c r="J1689" s="4" t="n">
        <v>-0.0138819325101522</v>
      </c>
      <c r="K1689">
        <f>IF(AND(I1689&gt;0,J1689&gt;=Assumptions!$B$4),1,0)</f>
        <v/>
      </c>
      <c r="L1689" s="3">
        <f>I1689*K1689</f>
        <v/>
      </c>
      <c r="M1689">
        <f>SUM($K$2:K1689)</f>
        <v/>
      </c>
    </row>
    <row r="1690">
      <c r="A1690" t="inlineStr">
        <is>
          <t>050030</t>
        </is>
      </c>
      <c r="B1690" t="inlineStr">
        <is>
          <t>Oroville Hospital</t>
        </is>
      </c>
      <c r="C1690" t="inlineStr">
        <is>
          <t>CA</t>
        </is>
      </c>
      <c r="D1690" t="inlineStr">
        <is>
          <t>Micropolitan</t>
        </is>
      </c>
      <c r="E1690" s="5" t="n">
        <v>2721</v>
      </c>
      <c r="F1690" s="4" t="n">
        <v>0.7026828371922087</v>
      </c>
      <c r="G1690" s="4" t="n">
        <v>0.6586065564325275</v>
      </c>
      <c r="H1690" s="3" t="n">
        <v>40414102.11184008</v>
      </c>
      <c r="I1690" s="3" t="n">
        <v>-698542.3139144033</v>
      </c>
      <c r="J1690" s="4" t="n">
        <v>-0.0172846179281996</v>
      </c>
      <c r="K1690">
        <f>IF(AND(I1690&gt;0,J1690&gt;=Assumptions!$B$4),1,0)</f>
        <v/>
      </c>
      <c r="L1690" s="3">
        <f>I1690*K1690</f>
        <v/>
      </c>
      <c r="M1690">
        <f>SUM($K$2:K1690)</f>
        <v/>
      </c>
    </row>
    <row r="1691">
      <c r="A1691" t="inlineStr">
        <is>
          <t>230031</t>
        </is>
      </c>
      <c r="B1691" t="inlineStr">
        <is>
          <t>Lake Huron Medical Center</t>
        </is>
      </c>
      <c r="C1691" t="inlineStr">
        <is>
          <t>MI</t>
        </is>
      </c>
      <c r="D1691" t="inlineStr">
        <is>
          <t>Metropolitan</t>
        </is>
      </c>
      <c r="E1691" s="5" t="n">
        <v>431</v>
      </c>
      <c r="F1691" s="4" t="n">
        <v>0.8955916473317865</v>
      </c>
      <c r="G1691" s="4" t="n">
        <v>0.6513908459837554</v>
      </c>
      <c r="H1691" s="3" t="n">
        <v>6289211.30308935</v>
      </c>
      <c r="I1691" s="3" t="n">
        <v>-699370.0886213407</v>
      </c>
      <c r="J1691" s="4" t="n">
        <v>-0.1112015569071117</v>
      </c>
      <c r="K1691">
        <f>IF(AND(I1691&gt;0,J1691&gt;=Assumptions!$B$4),1,0)</f>
        <v/>
      </c>
      <c r="L1691" s="3">
        <f>I1691*K1691</f>
        <v/>
      </c>
      <c r="M1691">
        <f>SUM($K$2:K1691)</f>
        <v/>
      </c>
    </row>
    <row r="1692">
      <c r="A1692" t="inlineStr">
        <is>
          <t>050438</t>
        </is>
      </c>
      <c r="B1692" t="inlineStr">
        <is>
          <t>Huntington Hospital</t>
        </is>
      </c>
      <c r="C1692" t="inlineStr">
        <is>
          <t>CA</t>
        </is>
      </c>
      <c r="D1692" t="inlineStr">
        <is>
          <t>Metropolitan</t>
        </is>
      </c>
      <c r="E1692" s="5" t="n">
        <v>3857</v>
      </c>
      <c r="F1692" s="4" t="n">
        <v>0.5662431941923775</v>
      </c>
      <c r="G1692" s="4" t="n">
        <v>0.5502375552499222</v>
      </c>
      <c r="H1692" s="3" t="n">
        <v>65873635.63254324</v>
      </c>
      <c r="I1692" s="3" t="n">
        <v>-700176.0636890307</v>
      </c>
      <c r="J1692" s="4" t="n">
        <v>-0.0106290787955709</v>
      </c>
      <c r="K1692">
        <f>IF(AND(I1692&gt;0,J1692&gt;=Assumptions!$B$4),1,0)</f>
        <v/>
      </c>
      <c r="L1692" s="3">
        <f>I1692*K1692</f>
        <v/>
      </c>
      <c r="M1692">
        <f>SUM($K$2:K1692)</f>
        <v/>
      </c>
    </row>
    <row r="1693">
      <c r="A1693" t="inlineStr">
        <is>
          <t>140290</t>
        </is>
      </c>
      <c r="B1693" t="inlineStr">
        <is>
          <t>St Alexius Medical Center</t>
        </is>
      </c>
      <c r="C1693" t="inlineStr">
        <is>
          <t>IL</t>
        </is>
      </c>
      <c r="D1693" t="inlineStr">
        <is>
          <t>Metropolitan</t>
        </is>
      </c>
      <c r="E1693" s="5" t="n">
        <v>2031</v>
      </c>
      <c r="F1693" s="4" t="n">
        <v>0.6671590349581487</v>
      </c>
      <c r="G1693" s="4" t="n">
        <v>0.6179339488894871</v>
      </c>
      <c r="H1693" s="3" t="n">
        <v>29797739.27843122</v>
      </c>
      <c r="I1693" s="3" t="n">
        <v>-700775.8766417801</v>
      </c>
      <c r="J1693" s="4" t="n">
        <v>-0.0235177531454216</v>
      </c>
      <c r="K1693">
        <f>IF(AND(I1693&gt;0,J1693&gt;=Assumptions!$B$4),1,0)</f>
        <v/>
      </c>
      <c r="L1693" s="3">
        <f>I1693*K1693</f>
        <v/>
      </c>
      <c r="M1693">
        <f>SUM($K$2:K1693)</f>
        <v/>
      </c>
    </row>
    <row r="1694">
      <c r="A1694" t="inlineStr">
        <is>
          <t>110082</t>
        </is>
      </c>
      <c r="B1694" t="inlineStr">
        <is>
          <t>Saint Joseph's Hospital Of Atlanta, Inc</t>
        </is>
      </c>
      <c r="C1694" t="inlineStr">
        <is>
          <t>GA</t>
        </is>
      </c>
      <c r="D1694" t="inlineStr">
        <is>
          <t>Metropolitan</t>
        </is>
      </c>
      <c r="E1694" s="5" t="n">
        <v>2751</v>
      </c>
      <c r="F1694" s="4" t="n">
        <v>0.5823336968375137</v>
      </c>
      <c r="G1694" s="4" t="n">
        <v>0.5574615177613671</v>
      </c>
      <c r="H1694" s="3" t="n">
        <v>48138020.92759944</v>
      </c>
      <c r="I1694" s="3" t="n">
        <v>-701447.6963026077</v>
      </c>
      <c r="J1694" s="4" t="n">
        <v>-0.0145715939871645</v>
      </c>
      <c r="K1694">
        <f>IF(AND(I1694&gt;0,J1694&gt;=Assumptions!$B$4),1,0)</f>
        <v/>
      </c>
      <c r="L1694" s="3">
        <f>I1694*K1694</f>
        <v/>
      </c>
      <c r="M1694">
        <f>SUM($K$2:K1694)</f>
        <v/>
      </c>
    </row>
    <row r="1695">
      <c r="A1695" t="inlineStr">
        <is>
          <t>440104</t>
        </is>
      </c>
      <c r="B1695" t="inlineStr">
        <is>
          <t>Erlanger Medical Center</t>
        </is>
      </c>
      <c r="C1695" t="inlineStr">
        <is>
          <t>TN</t>
        </is>
      </c>
      <c r="D1695" t="inlineStr">
        <is>
          <t>Metropolitan</t>
        </is>
      </c>
      <c r="E1695" s="5" t="n">
        <v>2762</v>
      </c>
      <c r="F1695" s="4" t="n">
        <v>0.5217233888486604</v>
      </c>
      <c r="G1695" s="4" t="n">
        <v>0.5142034972048719</v>
      </c>
      <c r="H1695" s="3" t="n">
        <v>52945026.96496785</v>
      </c>
      <c r="I1695" s="3" t="n">
        <v>-702892.5376911536</v>
      </c>
      <c r="J1695" s="4" t="n">
        <v>-0.0132758934688282</v>
      </c>
      <c r="K1695">
        <f>IF(AND(I1695&gt;0,J1695&gt;=Assumptions!$B$4),1,0)</f>
        <v/>
      </c>
      <c r="L1695" s="3">
        <f>I1695*K1695</f>
        <v/>
      </c>
      <c r="M1695">
        <f>SUM($K$2:K1695)</f>
        <v/>
      </c>
    </row>
    <row r="1696">
      <c r="A1696" t="inlineStr">
        <is>
          <t>350070</t>
        </is>
      </c>
      <c r="B1696" t="inlineStr">
        <is>
          <t>Essentia Health Fargo</t>
        </is>
      </c>
      <c r="C1696" t="inlineStr">
        <is>
          <t>ND</t>
        </is>
      </c>
      <c r="D1696" t="inlineStr">
        <is>
          <t>Metropolitan</t>
        </is>
      </c>
      <c r="E1696" s="5" t="n">
        <v>1931</v>
      </c>
      <c r="F1696" s="4" t="n">
        <v>0.6012428793371311</v>
      </c>
      <c r="G1696" s="4" t="n">
        <v>0.5745715383394727</v>
      </c>
      <c r="H1696" s="3" t="n">
        <v>34292574.764449</v>
      </c>
      <c r="I1696" s="3" t="n">
        <v>-702943.203691192</v>
      </c>
      <c r="J1696" s="4" t="n">
        <v>-0.0204984084315515</v>
      </c>
      <c r="K1696">
        <f>IF(AND(I1696&gt;0,J1696&gt;=Assumptions!$B$4),1,0)</f>
        <v/>
      </c>
      <c r="L1696" s="3">
        <f>I1696*K1696</f>
        <v/>
      </c>
      <c r="M1696">
        <f>SUM($K$2:K1696)</f>
        <v/>
      </c>
    </row>
    <row r="1697">
      <c r="A1697" t="inlineStr">
        <is>
          <t>140116</t>
        </is>
      </c>
      <c r="B1697" t="inlineStr">
        <is>
          <t>Northwestern Medicine Mchenry Hospital</t>
        </is>
      </c>
      <c r="C1697" t="inlineStr">
        <is>
          <t>IL</t>
        </is>
      </c>
      <c r="D1697" t="inlineStr">
        <is>
          <t>Metropolitan</t>
        </is>
      </c>
      <c r="E1697" s="5" t="n">
        <v>5722</v>
      </c>
      <c r="F1697" s="4" t="n">
        <v>0.5644879412792729</v>
      </c>
      <c r="G1697" s="4" t="n">
        <v>0.5704435886174699</v>
      </c>
      <c r="H1697" s="3" t="n">
        <v>85482382.14105301</v>
      </c>
      <c r="I1697" s="3" t="n">
        <v>-703500.9468080699</v>
      </c>
      <c r="J1697" s="4" t="n">
        <v>-0.0082297770509861</v>
      </c>
      <c r="K1697">
        <f>IF(AND(I1697&gt;0,J1697&gt;=Assumptions!$B$4),1,0)</f>
        <v/>
      </c>
      <c r="L1697" s="3">
        <f>I1697*K1697</f>
        <v/>
      </c>
      <c r="M1697">
        <f>SUM($K$2:K1697)</f>
        <v/>
      </c>
    </row>
    <row r="1698">
      <c r="A1698" t="inlineStr">
        <is>
          <t>080004</t>
        </is>
      </c>
      <c r="B1698" t="inlineStr">
        <is>
          <t>Bayhealth Medical Center, Kent Campus</t>
        </is>
      </c>
      <c r="C1698" t="inlineStr">
        <is>
          <t>DE</t>
        </is>
      </c>
      <c r="D1698" t="inlineStr">
        <is>
          <t>Metropolitan</t>
        </is>
      </c>
      <c r="E1698" s="5" t="n">
        <v>2923</v>
      </c>
      <c r="F1698" s="4" t="n">
        <v>0.640780020526856</v>
      </c>
      <c r="G1698" s="4" t="n">
        <v>0.6079059228247539</v>
      </c>
      <c r="H1698" s="3" t="n">
        <v>44317322.08323231</v>
      </c>
      <c r="I1698" s="3" t="n">
        <v>-703520.2112601995</v>
      </c>
      <c r="J1698" s="4" t="n">
        <v>-0.0158746101566994</v>
      </c>
      <c r="K1698">
        <f>IF(AND(I1698&gt;0,J1698&gt;=Assumptions!$B$4),1,0)</f>
        <v/>
      </c>
      <c r="L1698" s="3">
        <f>I1698*K1698</f>
        <v/>
      </c>
      <c r="M1698">
        <f>SUM($K$2:K1698)</f>
        <v/>
      </c>
    </row>
    <row r="1699">
      <c r="A1699" t="inlineStr">
        <is>
          <t>370025</t>
        </is>
      </c>
      <c r="B1699" t="inlineStr">
        <is>
          <t>Saint Francis Hospital Muskogee</t>
        </is>
      </c>
      <c r="C1699" t="inlineStr">
        <is>
          <t>OK</t>
        </is>
      </c>
      <c r="D1699" t="inlineStr">
        <is>
          <t>Micropolitan</t>
        </is>
      </c>
      <c r="E1699" s="5" t="n">
        <v>2196</v>
      </c>
      <c r="F1699" s="4" t="n">
        <v>0.7636612021857924</v>
      </c>
      <c r="G1699" s="4" t="n">
        <v>0.6953850975909328</v>
      </c>
      <c r="H1699" s="3" t="n">
        <v>31060175.30812309</v>
      </c>
      <c r="I1699" s="3" t="n">
        <v>-707617.4933565855</v>
      </c>
      <c r="J1699" s="4" t="n">
        <v>-0.0227821474391847</v>
      </c>
      <c r="K1699">
        <f>IF(AND(I1699&gt;0,J1699&gt;=Assumptions!$B$4),1,0)</f>
        <v/>
      </c>
      <c r="L1699" s="3">
        <f>I1699*K1699</f>
        <v/>
      </c>
      <c r="M1699">
        <f>SUM($K$2:K1699)</f>
        <v/>
      </c>
    </row>
    <row r="1700">
      <c r="A1700" t="inlineStr">
        <is>
          <t>100105</t>
        </is>
      </c>
      <c r="B1700" t="inlineStr">
        <is>
          <t>Cleveland Clinic Indian River Hospital</t>
        </is>
      </c>
      <c r="C1700" t="inlineStr">
        <is>
          <t>FL</t>
        </is>
      </c>
      <c r="D1700" t="inlineStr">
        <is>
          <t>Metropolitan</t>
        </is>
      </c>
      <c r="E1700" s="5" t="n">
        <v>4021</v>
      </c>
      <c r="F1700" s="4" t="n">
        <v>0.5928873414573489</v>
      </c>
      <c r="G1700" s="4" t="n">
        <v>0.5622437060792298</v>
      </c>
      <c r="H1700" s="3" t="n">
        <v>63075803.67440444</v>
      </c>
      <c r="I1700" s="3" t="n">
        <v>-708902.3788114265</v>
      </c>
      <c r="J1700" s="4" t="n">
        <v>-0.0112388957019202</v>
      </c>
      <c r="K1700">
        <f>IF(AND(I1700&gt;0,J1700&gt;=Assumptions!$B$4),1,0)</f>
        <v/>
      </c>
      <c r="L1700" s="3">
        <f>I1700*K1700</f>
        <v/>
      </c>
      <c r="M1700">
        <f>SUM($K$2:K1700)</f>
        <v/>
      </c>
    </row>
    <row r="1701">
      <c r="A1701" t="inlineStr">
        <is>
          <t>100269</t>
        </is>
      </c>
      <c r="B1701" t="inlineStr">
        <is>
          <t>Hca Florida Palms West Hospital</t>
        </is>
      </c>
      <c r="C1701" t="inlineStr">
        <is>
          <t>FL</t>
        </is>
      </c>
      <c r="D1701" t="inlineStr">
        <is>
          <t>Metropolitan</t>
        </is>
      </c>
      <c r="E1701" s="5" t="n">
        <v>970</v>
      </c>
      <c r="F1701" s="4" t="n">
        <v>0.6845360824742268</v>
      </c>
      <c r="G1701" s="4" t="n">
        <v>0.5994874134426201</v>
      </c>
      <c r="H1701" s="3" t="n">
        <v>13583182.53971753</v>
      </c>
      <c r="I1701" s="3" t="n">
        <v>-709839.8547171373</v>
      </c>
      <c r="J1701" s="4" t="n">
        <v>-0.052258728957043</v>
      </c>
      <c r="K1701">
        <f>IF(AND(I1701&gt;0,J1701&gt;=Assumptions!$B$4),1,0)</f>
        <v/>
      </c>
      <c r="L1701" s="3">
        <f>I1701*K1701</f>
        <v/>
      </c>
      <c r="M1701">
        <f>SUM($K$2:K1701)</f>
        <v/>
      </c>
    </row>
    <row r="1702">
      <c r="A1702" t="inlineStr">
        <is>
          <t>100069</t>
        </is>
      </c>
      <c r="B1702" t="inlineStr">
        <is>
          <t>Adventhealth Carrollwood</t>
        </is>
      </c>
      <c r="C1702" t="inlineStr">
        <is>
          <t>FL</t>
        </is>
      </c>
      <c r="D1702" t="inlineStr">
        <is>
          <t>Metropolitan</t>
        </is>
      </c>
      <c r="E1702" s="5" t="n">
        <v>586</v>
      </c>
      <c r="F1702" s="4" t="n">
        <v>0.5836177474402731</v>
      </c>
      <c r="G1702" s="4" t="n">
        <v>0.5434772989874057</v>
      </c>
      <c r="H1702" s="3" t="n">
        <v>11391188.03189013</v>
      </c>
      <c r="I1702" s="3" t="n">
        <v>-712857.65553266</v>
      </c>
      <c r="J1702" s="4" t="n">
        <v>-0.06257974616317311</v>
      </c>
      <c r="K1702">
        <f>IF(AND(I1702&gt;0,J1702&gt;=Assumptions!$B$4),1,0)</f>
        <v/>
      </c>
      <c r="L1702" s="3">
        <f>I1702*K1702</f>
        <v/>
      </c>
      <c r="M1702">
        <f>SUM($K$2:K1702)</f>
        <v/>
      </c>
    </row>
    <row r="1703">
      <c r="A1703" t="inlineStr">
        <is>
          <t>100187</t>
        </is>
      </c>
      <c r="B1703" t="inlineStr">
        <is>
          <t>Steward Palmetto General Hospital</t>
        </is>
      </c>
      <c r="C1703" t="inlineStr">
        <is>
          <t>FL</t>
        </is>
      </c>
      <c r="D1703" t="inlineStr">
        <is>
          <t>Metropolitan</t>
        </is>
      </c>
      <c r="E1703" s="5" t="n">
        <v>788</v>
      </c>
      <c r="F1703" s="4" t="n">
        <v>0.7360406091370558</v>
      </c>
      <c r="G1703" s="4" t="n">
        <v>0.6031156572093425</v>
      </c>
      <c r="H1703" s="3" t="n">
        <v>13359739.34193486</v>
      </c>
      <c r="I1703" s="3" t="n">
        <v>-713815.3991641402</v>
      </c>
      <c r="J1703" s="4" t="n">
        <v>-0.0534303387883883</v>
      </c>
      <c r="K1703">
        <f>IF(AND(I1703&gt;0,J1703&gt;=Assumptions!$B$4),1,0)</f>
        <v/>
      </c>
      <c r="L1703" s="3">
        <f>I1703*K1703</f>
        <v/>
      </c>
      <c r="M1703">
        <f>SUM($K$2:K1703)</f>
        <v/>
      </c>
    </row>
    <row r="1704">
      <c r="A1704" t="inlineStr">
        <is>
          <t>050006</t>
        </is>
      </c>
      <c r="B1704" t="inlineStr">
        <is>
          <t>Providence St Joseph Hospital</t>
        </is>
      </c>
      <c r="C1704" t="inlineStr">
        <is>
          <t>CA</t>
        </is>
      </c>
      <c r="D1704" t="inlineStr">
        <is>
          <t>Micropolitan</t>
        </is>
      </c>
      <c r="E1704" s="5" t="n">
        <v>1692</v>
      </c>
      <c r="F1704" s="4" t="n">
        <v>0.6731678486997635</v>
      </c>
      <c r="G1704" s="4" t="n">
        <v>0.610131373834098</v>
      </c>
      <c r="H1704" s="3" t="n">
        <v>27448223.82361987</v>
      </c>
      <c r="I1704" s="3" t="n">
        <v>-719197.5797345601</v>
      </c>
      <c r="J1704" s="4" t="n">
        <v>-0.0262019715503657</v>
      </c>
      <c r="K1704">
        <f>IF(AND(I1704&gt;0,J1704&gt;=Assumptions!$B$4),1,0)</f>
        <v/>
      </c>
      <c r="L1704" s="3">
        <f>I1704*K1704</f>
        <v/>
      </c>
      <c r="M1704">
        <f>SUM($K$2:K1704)</f>
        <v/>
      </c>
    </row>
    <row r="1705">
      <c r="A1705" t="inlineStr">
        <is>
          <t>140114</t>
        </is>
      </c>
      <c r="B1705" t="inlineStr">
        <is>
          <t>Swedish Hospital</t>
        </is>
      </c>
      <c r="C1705" t="inlineStr">
        <is>
          <t>IL</t>
        </is>
      </c>
      <c r="D1705" t="inlineStr">
        <is>
          <t>Metropolitan</t>
        </is>
      </c>
      <c r="E1705" s="5" t="n">
        <v>1109</v>
      </c>
      <c r="F1705" s="4" t="n">
        <v>0.7195671776375113</v>
      </c>
      <c r="G1705" s="4" t="n">
        <v>0.6738187622634388</v>
      </c>
      <c r="H1705" s="3" t="n">
        <v>16084513.52159823</v>
      </c>
      <c r="I1705" s="3" t="n">
        <v>-727584.1586692762</v>
      </c>
      <c r="J1705" s="4" t="n">
        <v>-0.0452350739543523</v>
      </c>
      <c r="K1705">
        <f>IF(AND(I1705&gt;0,J1705&gt;=Assumptions!$B$4),1,0)</f>
        <v/>
      </c>
      <c r="L1705" s="3">
        <f>I1705*K1705</f>
        <v/>
      </c>
      <c r="M1705">
        <f>SUM($K$2:K1705)</f>
        <v/>
      </c>
    </row>
    <row r="1706">
      <c r="A1706" t="inlineStr">
        <is>
          <t>220175</t>
        </is>
      </c>
      <c r="B1706" t="inlineStr">
        <is>
          <t>Metrowest Medical Center</t>
        </is>
      </c>
      <c r="C1706" t="inlineStr">
        <is>
          <t>MA</t>
        </is>
      </c>
      <c r="D1706" t="inlineStr">
        <is>
          <t>Metropolitan</t>
        </is>
      </c>
      <c r="E1706" s="5" t="n">
        <v>1303</v>
      </c>
      <c r="F1706" s="4" t="n">
        <v>0.7290867229470452</v>
      </c>
      <c r="G1706" s="4" t="n">
        <v>0.6536115277383334</v>
      </c>
      <c r="H1706" s="3" t="n">
        <v>17647641.80152158</v>
      </c>
      <c r="I1706" s="3" t="n">
        <v>-732952.901266031</v>
      </c>
      <c r="J1706" s="4" t="n">
        <v>-0.0415326256906934</v>
      </c>
      <c r="K1706">
        <f>IF(AND(I1706&gt;0,J1706&gt;=Assumptions!$B$4),1,0)</f>
        <v/>
      </c>
      <c r="L1706" s="3">
        <f>I1706*K1706</f>
        <v/>
      </c>
      <c r="M1706">
        <f>SUM($K$2:K1706)</f>
        <v/>
      </c>
    </row>
    <row r="1707">
      <c r="A1707" t="inlineStr">
        <is>
          <t>450046</t>
        </is>
      </c>
      <c r="B1707" t="inlineStr">
        <is>
          <t>Christus Spohn Hospital Corpus Christi</t>
        </is>
      </c>
      <c r="C1707" t="inlineStr">
        <is>
          <t>TX</t>
        </is>
      </c>
      <c r="D1707" t="inlineStr">
        <is>
          <t>Metropolitan</t>
        </is>
      </c>
      <c r="E1707" s="5" t="n">
        <v>2298</v>
      </c>
      <c r="F1707" s="4" t="n">
        <v>0.6305483028720626</v>
      </c>
      <c r="G1707" s="4" t="n">
        <v>0.6073675499861273</v>
      </c>
      <c r="H1707" s="3" t="n">
        <v>40578124.37672356</v>
      </c>
      <c r="I1707" s="3" t="n">
        <v>-736870.9367356375</v>
      </c>
      <c r="J1707" s="4" t="n">
        <v>-0.0181593148538507</v>
      </c>
      <c r="K1707">
        <f>IF(AND(I1707&gt;0,J1707&gt;=Assumptions!$B$4),1,0)</f>
        <v/>
      </c>
      <c r="L1707" s="3">
        <f>I1707*K1707</f>
        <v/>
      </c>
      <c r="M1707">
        <f>SUM($K$2:K1707)</f>
        <v/>
      </c>
    </row>
    <row r="1708">
      <c r="A1708" t="inlineStr">
        <is>
          <t>280009</t>
        </is>
      </c>
      <c r="B1708" t="inlineStr">
        <is>
          <t>Chi Health Good Samaritan</t>
        </is>
      </c>
      <c r="C1708" t="inlineStr">
        <is>
          <t>NE</t>
        </is>
      </c>
      <c r="D1708" t="inlineStr">
        <is>
          <t>Micropolitan</t>
        </is>
      </c>
      <c r="E1708" s="5" t="n">
        <v>830</v>
      </c>
      <c r="F1708" s="4" t="n">
        <v>0.7433734939759036</v>
      </c>
      <c r="G1708" s="4" t="n">
        <v>0.6348379991567493</v>
      </c>
      <c r="H1708" s="3" t="n">
        <v>14780414.33625876</v>
      </c>
      <c r="I1708" s="3" t="n">
        <v>-739927.3970724624</v>
      </c>
      <c r="J1708" s="4" t="n">
        <v>-0.0500613433587785</v>
      </c>
      <c r="K1708">
        <f>IF(AND(I1708&gt;0,J1708&gt;=Assumptions!$B$4),1,0)</f>
        <v/>
      </c>
      <c r="L1708" s="3">
        <f>I1708*K1708</f>
        <v/>
      </c>
      <c r="M1708">
        <f>SUM($K$2:K1708)</f>
        <v/>
      </c>
    </row>
    <row r="1709">
      <c r="A1709" t="inlineStr">
        <is>
          <t>140065</t>
        </is>
      </c>
      <c r="B1709" t="inlineStr">
        <is>
          <t>Uchicago Medicine Adventhealth La Grange</t>
        </is>
      </c>
      <c r="C1709" t="inlineStr">
        <is>
          <t>IL</t>
        </is>
      </c>
      <c r="D1709" t="inlineStr">
        <is>
          <t>Metropolitan</t>
        </is>
      </c>
      <c r="E1709" s="5" t="n">
        <v>1818</v>
      </c>
      <c r="F1709" s="4" t="n">
        <v>0.641914191419142</v>
      </c>
      <c r="G1709" s="4" t="n">
        <v>0.596916543632836</v>
      </c>
      <c r="H1709" s="3" t="n">
        <v>26492546.68383286</v>
      </c>
      <c r="I1709" s="3" t="n">
        <v>-744259.1322044618</v>
      </c>
      <c r="J1709" s="4" t="n">
        <v>-0.0280931516734345</v>
      </c>
      <c r="K1709">
        <f>IF(AND(I1709&gt;0,J1709&gt;=Assumptions!$B$4),1,0)</f>
        <v/>
      </c>
      <c r="L1709" s="3">
        <f>I1709*K1709</f>
        <v/>
      </c>
      <c r="M1709">
        <f>SUM($K$2:K1709)</f>
        <v/>
      </c>
    </row>
    <row r="1710">
      <c r="A1710" t="inlineStr">
        <is>
          <t>230254</t>
        </is>
      </c>
      <c r="B1710" t="inlineStr">
        <is>
          <t>Ascension Providence Rochester Hospital</t>
        </is>
      </c>
      <c r="C1710" t="inlineStr">
        <is>
          <t>MI</t>
        </is>
      </c>
      <c r="D1710" t="inlineStr">
        <is>
          <t>Metropolitan</t>
        </is>
      </c>
      <c r="E1710" s="5" t="n">
        <v>1479</v>
      </c>
      <c r="F1710" s="4" t="n">
        <v>0.6024340770791075</v>
      </c>
      <c r="G1710" s="4" t="n">
        <v>0.5511526139174138</v>
      </c>
      <c r="H1710" s="3" t="n">
        <v>21040235.65095582</v>
      </c>
      <c r="I1710" s="3" t="n">
        <v>-744318.4326838888</v>
      </c>
      <c r="J1710" s="4" t="n">
        <v>-0.0353759551476352</v>
      </c>
      <c r="K1710">
        <f>IF(AND(I1710&gt;0,J1710&gt;=Assumptions!$B$4),1,0)</f>
        <v/>
      </c>
      <c r="L1710" s="3">
        <f>I1710*K1710</f>
        <v/>
      </c>
      <c r="M1710">
        <f>SUM($K$2:K1710)</f>
        <v/>
      </c>
    </row>
    <row r="1711">
      <c r="A1711" t="inlineStr">
        <is>
          <t>440048</t>
        </is>
      </c>
      <c r="B1711" t="inlineStr">
        <is>
          <t>Baptist Memorial Hospital</t>
        </is>
      </c>
      <c r="C1711" t="inlineStr">
        <is>
          <t>TN</t>
        </is>
      </c>
      <c r="D1711" t="inlineStr">
        <is>
          <t>Metropolitan</t>
        </is>
      </c>
      <c r="E1711" s="5" t="n">
        <v>8844</v>
      </c>
      <c r="F1711" s="4" t="n">
        <v>0.5521257349615558</v>
      </c>
      <c r="G1711" s="4" t="n">
        <v>0.5286323335212409</v>
      </c>
      <c r="H1711" s="3" t="n">
        <v>169576333.3835502</v>
      </c>
      <c r="I1711" s="3" t="n">
        <v>-745609.0301102698</v>
      </c>
      <c r="J1711" s="4" t="n">
        <v>-0.0043968932175449</v>
      </c>
      <c r="K1711">
        <f>IF(AND(I1711&gt;0,J1711&gt;=Assumptions!$B$4),1,0)</f>
        <v/>
      </c>
      <c r="L1711" s="3">
        <f>I1711*K1711</f>
        <v/>
      </c>
      <c r="M1711">
        <f>SUM($K$2:K1711)</f>
        <v/>
      </c>
    </row>
    <row r="1712">
      <c r="A1712" t="inlineStr">
        <is>
          <t>450638</t>
        </is>
      </c>
      <c r="B1712" t="inlineStr">
        <is>
          <t>Hca Houston Healthcare Northwest</t>
        </is>
      </c>
      <c r="C1712" t="inlineStr">
        <is>
          <t>TX</t>
        </is>
      </c>
      <c r="D1712" t="inlineStr">
        <is>
          <t>Metropolitan</t>
        </is>
      </c>
      <c r="E1712" s="5" t="n">
        <v>542</v>
      </c>
      <c r="F1712" s="4" t="n">
        <v>0.8653136531365314</v>
      </c>
      <c r="G1712" s="4" t="n">
        <v>0.6819796862459065</v>
      </c>
      <c r="H1712" s="3" t="n">
        <v>8611587.120887861</v>
      </c>
      <c r="I1712" s="3" t="n">
        <v>-748586.4573219772</v>
      </c>
      <c r="J1712" s="4" t="n">
        <v>-0.0869278156062825</v>
      </c>
      <c r="K1712">
        <f>IF(AND(I1712&gt;0,J1712&gt;=Assumptions!$B$4),1,0)</f>
        <v/>
      </c>
      <c r="L1712" s="3">
        <f>I1712*K1712</f>
        <v/>
      </c>
      <c r="M1712">
        <f>SUM($K$2:K1712)</f>
        <v/>
      </c>
    </row>
    <row r="1713">
      <c r="A1713" t="inlineStr">
        <is>
          <t>070002</t>
        </is>
      </c>
      <c r="B1713" t="inlineStr">
        <is>
          <t>Saint Francis Hospital &amp; Medical Center</t>
        </is>
      </c>
      <c r="C1713" t="inlineStr">
        <is>
          <t>CT</t>
        </is>
      </c>
      <c r="D1713" t="inlineStr">
        <is>
          <t>Metropolitan</t>
        </is>
      </c>
      <c r="E1713" s="5" t="n">
        <v>2465</v>
      </c>
      <c r="F1713" s="4" t="n">
        <v>0.6068965517241379</v>
      </c>
      <c r="G1713" s="4" t="n">
        <v>0.5741371765550589</v>
      </c>
      <c r="H1713" s="3" t="n">
        <v>41142856.17194537</v>
      </c>
      <c r="I1713" s="3" t="n">
        <v>-750810.5401869342</v>
      </c>
      <c r="J1713" s="4" t="n">
        <v>-0.018248867726857</v>
      </c>
      <c r="K1713">
        <f>IF(AND(I1713&gt;0,J1713&gt;=Assumptions!$B$4),1,0)</f>
        <v/>
      </c>
      <c r="L1713" s="3">
        <f>I1713*K1713</f>
        <v/>
      </c>
      <c r="M1713">
        <f>SUM($K$2:K1713)</f>
        <v/>
      </c>
    </row>
    <row r="1714">
      <c r="A1714" t="inlineStr">
        <is>
          <t>450203</t>
        </is>
      </c>
      <c r="B1714" t="inlineStr">
        <is>
          <t>Medical City Weatherford</t>
        </is>
      </c>
      <c r="C1714" t="inlineStr">
        <is>
          <t>TX</t>
        </is>
      </c>
      <c r="D1714" t="inlineStr">
        <is>
          <t>Micropolitan</t>
        </is>
      </c>
      <c r="E1714" s="5" t="n">
        <v>1097</v>
      </c>
      <c r="F1714" s="4" t="n">
        <v>0.7666362807657247</v>
      </c>
      <c r="G1714" s="4" t="n">
        <v>0.6775018452165286</v>
      </c>
      <c r="H1714" s="3" t="n">
        <v>16142924.73041712</v>
      </c>
      <c r="I1714" s="3" t="n">
        <v>-751677.5928623788</v>
      </c>
      <c r="J1714" s="4" t="n">
        <v>-0.0465639037172761</v>
      </c>
      <c r="K1714">
        <f>IF(AND(I1714&gt;0,J1714&gt;=Assumptions!$B$4),1,0)</f>
        <v/>
      </c>
      <c r="L1714" s="3">
        <f>I1714*K1714</f>
        <v/>
      </c>
      <c r="M1714">
        <f>SUM($K$2:K1714)</f>
        <v/>
      </c>
    </row>
    <row r="1715">
      <c r="A1715" t="inlineStr">
        <is>
          <t>330196</t>
        </is>
      </c>
      <c r="B1715" t="inlineStr">
        <is>
          <t>South Brooklyn Health</t>
        </is>
      </c>
      <c r="C1715" t="inlineStr">
        <is>
          <t>NY</t>
        </is>
      </c>
      <c r="D1715" t="inlineStr">
        <is>
          <t>Metropolitan</t>
        </is>
      </c>
      <c r="E1715" s="5" t="n">
        <v>2038</v>
      </c>
      <c r="F1715" s="4" t="n">
        <v>0.7085377821393523</v>
      </c>
      <c r="G1715" s="4" t="n">
        <v>0.6709344807180262</v>
      </c>
      <c r="H1715" s="3" t="n">
        <v>28571066.23690831</v>
      </c>
      <c r="I1715" s="3" t="n">
        <v>-755102.5074077733</v>
      </c>
      <c r="J1715" s="4" t="n">
        <v>-0.0264289229231608</v>
      </c>
      <c r="K1715">
        <f>IF(AND(I1715&gt;0,J1715&gt;=Assumptions!$B$4),1,0)</f>
        <v/>
      </c>
      <c r="L1715" s="3">
        <f>I1715*K1715</f>
        <v/>
      </c>
      <c r="M1715">
        <f>SUM($K$2:K1715)</f>
        <v/>
      </c>
    </row>
    <row r="1716">
      <c r="A1716" t="inlineStr">
        <is>
          <t>050567</t>
        </is>
      </c>
      <c r="B1716" t="inlineStr">
        <is>
          <t>Providence Mission Hospital</t>
        </is>
      </c>
      <c r="C1716" t="inlineStr">
        <is>
          <t>CA</t>
        </is>
      </c>
      <c r="D1716" t="inlineStr">
        <is>
          <t>Metropolitan</t>
        </is>
      </c>
      <c r="E1716" s="5" t="n">
        <v>3445</v>
      </c>
      <c r="F1716" s="4" t="n">
        <v>0.5875181422351233</v>
      </c>
      <c r="G1716" s="4" t="n">
        <v>0.5620538220500664</v>
      </c>
      <c r="H1716" s="3" t="n">
        <v>59603576.36420264</v>
      </c>
      <c r="I1716" s="3" t="n">
        <v>-765183.2791533619</v>
      </c>
      <c r="J1716" s="4" t="n">
        <v>-0.0128378752724127</v>
      </c>
      <c r="K1716">
        <f>IF(AND(I1716&gt;0,J1716&gt;=Assumptions!$B$4),1,0)</f>
        <v/>
      </c>
      <c r="L1716" s="3">
        <f>I1716*K1716</f>
        <v/>
      </c>
      <c r="M1716">
        <f>SUM($K$2:K1716)</f>
        <v/>
      </c>
    </row>
    <row r="1717">
      <c r="A1717" t="inlineStr">
        <is>
          <t>220163</t>
        </is>
      </c>
      <c r="B1717" t="inlineStr">
        <is>
          <t>Umass Memorial Medical Center Inc</t>
        </is>
      </c>
      <c r="C1717" t="inlineStr">
        <is>
          <t>MA</t>
        </is>
      </c>
      <c r="D1717" t="inlineStr">
        <is>
          <t>Metropolitan</t>
        </is>
      </c>
      <c r="E1717" s="5" t="n">
        <v>7692</v>
      </c>
      <c r="F1717" s="4" t="n">
        <v>0.5574622984919396</v>
      </c>
      <c r="G1717" s="4" t="n">
        <v>0.5415212463473678</v>
      </c>
      <c r="H1717" s="3" t="n">
        <v>137015063.1115376</v>
      </c>
      <c r="I1717" s="3" t="n">
        <v>-766968.6822391152</v>
      </c>
      <c r="J1717" s="4" t="n">
        <v>-0.0055976960840777</v>
      </c>
      <c r="K1717">
        <f>IF(AND(I1717&gt;0,J1717&gt;=Assumptions!$B$4),1,0)</f>
        <v/>
      </c>
      <c r="L1717" s="3">
        <f>I1717*K1717</f>
        <v/>
      </c>
      <c r="M1717">
        <f>SUM($K$2:K1717)</f>
        <v/>
      </c>
    </row>
    <row r="1718">
      <c r="A1718" t="inlineStr">
        <is>
          <t>450672</t>
        </is>
      </c>
      <c r="B1718" t="inlineStr">
        <is>
          <t>Medical City Fort Worth</t>
        </is>
      </c>
      <c r="C1718" t="inlineStr">
        <is>
          <t>TX</t>
        </is>
      </c>
      <c r="D1718" t="inlineStr">
        <is>
          <t>Metropolitan</t>
        </is>
      </c>
      <c r="E1718" s="5" t="n">
        <v>1707</v>
      </c>
      <c r="F1718" s="4" t="n">
        <v>0.5805506736965437</v>
      </c>
      <c r="G1718" s="4" t="n">
        <v>0.5443768441101579</v>
      </c>
      <c r="H1718" s="3" t="n">
        <v>35478024.24045406</v>
      </c>
      <c r="I1718" s="3" t="n">
        <v>-769542.5046022534</v>
      </c>
      <c r="J1718" s="4" t="n">
        <v>-0.0216906809518658</v>
      </c>
      <c r="K1718">
        <f>IF(AND(I1718&gt;0,J1718&gt;=Assumptions!$B$4),1,0)</f>
        <v/>
      </c>
      <c r="L1718" s="3">
        <f>I1718*K1718</f>
        <v/>
      </c>
      <c r="M1718">
        <f>SUM($K$2:K1718)</f>
        <v/>
      </c>
    </row>
    <row r="1719">
      <c r="A1719" t="inlineStr">
        <is>
          <t>230024</t>
        </is>
      </c>
      <c r="B1719" t="inlineStr">
        <is>
          <t>Sinai-Grace Hospital</t>
        </is>
      </c>
      <c r="C1719" t="inlineStr">
        <is>
          <t>MI</t>
        </is>
      </c>
      <c r="D1719" t="inlineStr">
        <is>
          <t>Metropolitan</t>
        </is>
      </c>
      <c r="E1719" s="5" t="n">
        <v>865</v>
      </c>
      <c r="F1719" s="4" t="n">
        <v>0.753757225433526</v>
      </c>
      <c r="G1719" s="4" t="n">
        <v>0.6558895477892126</v>
      </c>
      <c r="H1719" s="3" t="n">
        <v>12835692.32237636</v>
      </c>
      <c r="I1719" s="3" t="n">
        <v>-773043.8375422359</v>
      </c>
      <c r="J1719" s="4" t="n">
        <v>-0.0602261115432468</v>
      </c>
      <c r="K1719">
        <f>IF(AND(I1719&gt;0,J1719&gt;=Assumptions!$B$4),1,0)</f>
        <v/>
      </c>
      <c r="L1719" s="3">
        <f>I1719*K1719</f>
        <v/>
      </c>
      <c r="M1719">
        <f>SUM($K$2:K1719)</f>
        <v/>
      </c>
    </row>
    <row r="1720">
      <c r="A1720" t="inlineStr">
        <is>
          <t>050204</t>
        </is>
      </c>
      <c r="B1720" t="inlineStr">
        <is>
          <t>Palmdale Regional Medical Center</t>
        </is>
      </c>
      <c r="C1720" t="inlineStr">
        <is>
          <t>CA</t>
        </is>
      </c>
      <c r="D1720" t="inlineStr">
        <is>
          <t>Metropolitan</t>
        </is>
      </c>
      <c r="E1720" s="5" t="n">
        <v>733</v>
      </c>
      <c r="F1720" s="4" t="n">
        <v>0.844474761255116</v>
      </c>
      <c r="G1720" s="4" t="n">
        <v>0.7142260030148829</v>
      </c>
      <c r="H1720" s="3" t="n">
        <v>10891355.57198746</v>
      </c>
      <c r="I1720" s="3" t="n">
        <v>-776762.5405369662</v>
      </c>
      <c r="J1720" s="4" t="n">
        <v>-0.0713191792704663</v>
      </c>
      <c r="K1720">
        <f>IF(AND(I1720&gt;0,J1720&gt;=Assumptions!$B$4),1,0)</f>
        <v/>
      </c>
      <c r="L1720" s="3">
        <f>I1720*K1720</f>
        <v/>
      </c>
      <c r="M1720">
        <f>SUM($K$2:K1720)</f>
        <v/>
      </c>
    </row>
    <row r="1721">
      <c r="A1721" t="inlineStr">
        <is>
          <t>090001</t>
        </is>
      </c>
      <c r="B1721" t="inlineStr">
        <is>
          <t>George Washington Univ Hospital</t>
        </is>
      </c>
      <c r="C1721" t="inlineStr">
        <is>
          <t>DC</t>
        </is>
      </c>
      <c r="D1721" t="inlineStr">
        <is>
          <t>Metropolitan</t>
        </is>
      </c>
      <c r="E1721" s="5" t="n">
        <v>1923</v>
      </c>
      <c r="F1721" s="4" t="n">
        <v>0.6224648985959438</v>
      </c>
      <c r="G1721" s="4" t="n">
        <v>0.5892758830302929</v>
      </c>
      <c r="H1721" s="3" t="n">
        <v>35517376.40459744</v>
      </c>
      <c r="I1721" s="3" t="n">
        <v>-781957.2352060601</v>
      </c>
      <c r="J1721" s="4" t="n">
        <v>-0.0220161879722862</v>
      </c>
      <c r="K1721">
        <f>IF(AND(I1721&gt;0,J1721&gt;=Assumptions!$B$4),1,0)</f>
        <v/>
      </c>
      <c r="L1721" s="3">
        <f>I1721*K1721</f>
        <v/>
      </c>
      <c r="M1721">
        <f>SUM($K$2:K1721)</f>
        <v/>
      </c>
    </row>
    <row r="1722">
      <c r="A1722" t="inlineStr">
        <is>
          <t>450713</t>
        </is>
      </c>
      <c r="B1722" t="inlineStr">
        <is>
          <t>St David's South Austin Medical Center</t>
        </is>
      </c>
      <c r="C1722" t="inlineStr">
        <is>
          <t>TX</t>
        </is>
      </c>
      <c r="D1722" t="inlineStr">
        <is>
          <t>Metropolitan</t>
        </is>
      </c>
      <c r="E1722" s="5" t="n">
        <v>3050</v>
      </c>
      <c r="F1722" s="4" t="n">
        <v>0.5636065573770492</v>
      </c>
      <c r="G1722" s="4" t="n">
        <v>0.5402999976169054</v>
      </c>
      <c r="H1722" s="3" t="n">
        <v>53305451.70210105</v>
      </c>
      <c r="I1722" s="3" t="n">
        <v>-783067.3050567955</v>
      </c>
      <c r="J1722" s="4" t="n">
        <v>-0.0146901917168433</v>
      </c>
      <c r="K1722">
        <f>IF(AND(I1722&gt;0,J1722&gt;=Assumptions!$B$4),1,0)</f>
        <v/>
      </c>
      <c r="L1722" s="3">
        <f>I1722*K1722</f>
        <v/>
      </c>
      <c r="M1722">
        <f>SUM($K$2:K1722)</f>
        <v/>
      </c>
    </row>
    <row r="1723">
      <c r="A1723" t="inlineStr">
        <is>
          <t>440183</t>
        </is>
      </c>
      <c r="B1723" t="inlineStr">
        <is>
          <t>St Francis Hospital</t>
        </is>
      </c>
      <c r="C1723" t="inlineStr">
        <is>
          <t>TN</t>
        </is>
      </c>
      <c r="D1723" t="inlineStr">
        <is>
          <t>Metropolitan</t>
        </is>
      </c>
      <c r="E1723" s="5" t="n">
        <v>908</v>
      </c>
      <c r="F1723" s="4" t="n">
        <v>0.6773127753303965</v>
      </c>
      <c r="G1723" s="4" t="n">
        <v>0.5630434096836657</v>
      </c>
      <c r="H1723" s="3" t="n">
        <v>17294576.96191068</v>
      </c>
      <c r="I1723" s="3" t="n">
        <v>-785061.3497804701</v>
      </c>
      <c r="J1723" s="4" t="n">
        <v>-0.0453934982919488</v>
      </c>
      <c r="K1723">
        <f>IF(AND(I1723&gt;0,J1723&gt;=Assumptions!$B$4),1,0)</f>
        <v/>
      </c>
      <c r="L1723" s="3">
        <f>I1723*K1723</f>
        <v/>
      </c>
      <c r="M1723">
        <f>SUM($K$2:K1723)</f>
        <v/>
      </c>
    </row>
    <row r="1724">
      <c r="A1724" t="inlineStr">
        <is>
          <t>450686</t>
        </is>
      </c>
      <c r="B1724" t="inlineStr">
        <is>
          <t>University Medical Center</t>
        </is>
      </c>
      <c r="C1724" t="inlineStr">
        <is>
          <t>TX</t>
        </is>
      </c>
      <c r="D1724" t="inlineStr">
        <is>
          <t>Metropolitan</t>
        </is>
      </c>
      <c r="E1724" s="5" t="n">
        <v>2138</v>
      </c>
      <c r="F1724" s="4" t="n">
        <v>0.5855940130963517</v>
      </c>
      <c r="G1724" s="4" t="n">
        <v>0.5498414201036709</v>
      </c>
      <c r="H1724" s="3" t="n">
        <v>38569529.92412565</v>
      </c>
      <c r="I1724" s="3" t="n">
        <v>-787396.0285101607</v>
      </c>
      <c r="J1724" s="4" t="n">
        <v>-0.0204149760201675</v>
      </c>
      <c r="K1724">
        <f>IF(AND(I1724&gt;0,J1724&gt;=Assumptions!$B$4),1,0)</f>
        <v/>
      </c>
      <c r="L1724" s="3">
        <f>I1724*K1724</f>
        <v/>
      </c>
      <c r="M1724">
        <f>SUM($K$2:K1724)</f>
        <v/>
      </c>
    </row>
    <row r="1725">
      <c r="A1725" t="inlineStr">
        <is>
          <t>230151</t>
        </is>
      </c>
      <c r="B1725" t="inlineStr">
        <is>
          <t>Beaumont Hospital - Farmington Hills</t>
        </is>
      </c>
      <c r="C1725" t="inlineStr">
        <is>
          <t>MI</t>
        </is>
      </c>
      <c r="D1725" t="inlineStr">
        <is>
          <t>Metropolitan</t>
        </is>
      </c>
      <c r="E1725" s="5" t="n">
        <v>1625</v>
      </c>
      <c r="F1725" s="4" t="n">
        <v>0.6726153846153846</v>
      </c>
      <c r="G1725" s="4" t="n">
        <v>0.6269719829447814</v>
      </c>
      <c r="H1725" s="3" t="n">
        <v>21974882.40656644</v>
      </c>
      <c r="I1725" s="3" t="n">
        <v>-789995.9217495099</v>
      </c>
      <c r="J1725" s="4" t="n">
        <v>-0.0359499499079661</v>
      </c>
      <c r="K1725">
        <f>IF(AND(I1725&gt;0,J1725&gt;=Assumptions!$B$4),1,0)</f>
        <v/>
      </c>
      <c r="L1725" s="3">
        <f>I1725*K1725</f>
        <v/>
      </c>
      <c r="M1725">
        <f>SUM($K$2:K1725)</f>
        <v/>
      </c>
    </row>
    <row r="1726">
      <c r="A1726" t="inlineStr">
        <is>
          <t>140122</t>
        </is>
      </c>
      <c r="B1726" t="inlineStr">
        <is>
          <t>Uchicago Medicine Adventhealth Hinsdale</t>
        </is>
      </c>
      <c r="C1726" t="inlineStr">
        <is>
          <t>IL</t>
        </is>
      </c>
      <c r="D1726" t="inlineStr">
        <is>
          <t>Metropolitan</t>
        </is>
      </c>
      <c r="E1726" s="5" t="n">
        <v>1378</v>
      </c>
      <c r="F1726" s="4" t="n">
        <v>0.6516690856313497</v>
      </c>
      <c r="G1726" s="4" t="n">
        <v>0.6033129667091013</v>
      </c>
      <c r="H1726" s="3" t="n">
        <v>21649792.92452746</v>
      </c>
      <c r="I1726" s="3" t="n">
        <v>-796300.4773625508</v>
      </c>
      <c r="J1726" s="4" t="n">
        <v>-0.0367809743094774</v>
      </c>
      <c r="K1726">
        <f>IF(AND(I1726&gt;0,J1726&gt;=Assumptions!$B$4),1,0)</f>
        <v/>
      </c>
      <c r="L1726" s="3">
        <f>I1726*K1726</f>
        <v/>
      </c>
      <c r="M1726">
        <f>SUM($K$2:K1726)</f>
        <v/>
      </c>
    </row>
    <row r="1727">
      <c r="A1727" t="inlineStr">
        <is>
          <t>100110</t>
        </is>
      </c>
      <c r="B1727" t="inlineStr">
        <is>
          <t>Hca Florida Osceola Hospital</t>
        </is>
      </c>
      <c r="C1727" t="inlineStr">
        <is>
          <t>FL</t>
        </is>
      </c>
      <c r="D1727" t="inlineStr">
        <is>
          <t>Metropolitan</t>
        </is>
      </c>
      <c r="E1727" s="5" t="n">
        <v>1425</v>
      </c>
      <c r="F1727" s="4" t="n">
        <v>0.6133333333333333</v>
      </c>
      <c r="G1727" s="4" t="n">
        <v>0.5600117720900014</v>
      </c>
      <c r="H1727" s="3" t="n">
        <v>23612245.02570545</v>
      </c>
      <c r="I1727" s="3" t="n">
        <v>-801895.2096426636</v>
      </c>
      <c r="J1727" s="4" t="n">
        <v>-0.0339609896801291</v>
      </c>
      <c r="K1727">
        <f>IF(AND(I1727&gt;0,J1727&gt;=Assumptions!$B$4),1,0)</f>
        <v/>
      </c>
      <c r="L1727" s="3">
        <f>I1727*K1727</f>
        <v/>
      </c>
      <c r="M1727">
        <f>SUM($K$2:K1727)</f>
        <v/>
      </c>
    </row>
    <row r="1728">
      <c r="A1728" t="inlineStr">
        <is>
          <t>670077</t>
        </is>
      </c>
      <c r="B1728" t="inlineStr">
        <is>
          <t>Houston Methodist West Hospital</t>
        </is>
      </c>
      <c r="C1728" t="inlineStr">
        <is>
          <t>TX</t>
        </is>
      </c>
      <c r="D1728" t="inlineStr">
        <is>
          <t>Metropolitan</t>
        </is>
      </c>
      <c r="E1728" s="5" t="n">
        <v>2131</v>
      </c>
      <c r="F1728" s="4" t="n">
        <v>0.666823087752229</v>
      </c>
      <c r="G1728" s="4" t="n">
        <v>0.6156349136751997</v>
      </c>
      <c r="H1728" s="3" t="n">
        <v>34010460.6226829</v>
      </c>
      <c r="I1728" s="3" t="n">
        <v>-804922.1274557263</v>
      </c>
      <c r="J1728" s="4" t="n">
        <v>-0.0236668987340586</v>
      </c>
      <c r="K1728">
        <f>IF(AND(I1728&gt;0,J1728&gt;=Assumptions!$B$4),1,0)</f>
        <v/>
      </c>
      <c r="L1728" s="3">
        <f>I1728*K1728</f>
        <v/>
      </c>
      <c r="M1728">
        <f>SUM($K$2:K1728)</f>
        <v/>
      </c>
    </row>
    <row r="1729">
      <c r="A1729" t="inlineStr">
        <is>
          <t>670056</t>
        </is>
      </c>
      <c r="B1729" t="inlineStr">
        <is>
          <t>Ascension  Seton Hays</t>
        </is>
      </c>
      <c r="C1729" t="inlineStr">
        <is>
          <t>TX</t>
        </is>
      </c>
      <c r="D1729" t="inlineStr">
        <is>
          <t>Micropolitan</t>
        </is>
      </c>
      <c r="E1729" s="5" t="n">
        <v>1122</v>
      </c>
      <c r="F1729" s="4" t="n">
        <v>0.7023172905525846</v>
      </c>
      <c r="G1729" s="4" t="n">
        <v>0.6123816788127964</v>
      </c>
      <c r="H1729" s="3" t="n">
        <v>15672912.63907677</v>
      </c>
      <c r="I1729" s="3" t="n">
        <v>-807798.4504353441</v>
      </c>
      <c r="J1729" s="4" t="n">
        <v>-0.0515410548784203</v>
      </c>
      <c r="K1729">
        <f>IF(AND(I1729&gt;0,J1729&gt;=Assumptions!$B$4),1,0)</f>
        <v/>
      </c>
      <c r="L1729" s="3">
        <f>I1729*K1729</f>
        <v/>
      </c>
      <c r="M1729">
        <f>SUM($K$2:K1729)</f>
        <v/>
      </c>
    </row>
    <row r="1730">
      <c r="A1730" t="inlineStr">
        <is>
          <t>140150</t>
        </is>
      </c>
      <c r="B1730" t="inlineStr">
        <is>
          <t>University Of Illinois Hospital And Clinics</t>
        </is>
      </c>
      <c r="C1730" t="inlineStr">
        <is>
          <t>IL</t>
        </is>
      </c>
      <c r="D1730" t="inlineStr">
        <is>
          <t>Metropolitan</t>
        </is>
      </c>
      <c r="E1730" s="5" t="n">
        <v>1071</v>
      </c>
      <c r="F1730" s="4" t="n">
        <v>0.5966386554621849</v>
      </c>
      <c r="G1730" s="4" t="n">
        <v>0.6068921528844405</v>
      </c>
      <c r="H1730" s="3" t="n">
        <v>16360778.47814117</v>
      </c>
      <c r="I1730" s="3" t="n">
        <v>-815586.8734278008</v>
      </c>
      <c r="J1730" s="4" t="n">
        <v>-0.0498501262954856</v>
      </c>
      <c r="K1730">
        <f>IF(AND(I1730&gt;0,J1730&gt;=Assumptions!$B$4),1,0)</f>
        <v/>
      </c>
      <c r="L1730" s="3">
        <f>I1730*K1730</f>
        <v/>
      </c>
      <c r="M1730">
        <f>SUM($K$2:K1730)</f>
        <v/>
      </c>
    </row>
    <row r="1731">
      <c r="A1731" t="inlineStr">
        <is>
          <t>450848</t>
        </is>
      </c>
      <c r="B1731" t="inlineStr">
        <is>
          <t>Memorial Hermann Sugar Land Hospital</t>
        </is>
      </c>
      <c r="C1731" t="inlineStr">
        <is>
          <t>TX</t>
        </is>
      </c>
      <c r="D1731" t="inlineStr">
        <is>
          <t>Metropolitan</t>
        </is>
      </c>
      <c r="E1731" s="5" t="n">
        <v>1090</v>
      </c>
      <c r="F1731" s="4" t="n">
        <v>0.7990825688073394</v>
      </c>
      <c r="G1731" s="4" t="n">
        <v>0.6843970200074239</v>
      </c>
      <c r="H1731" s="3" t="n">
        <v>17198903.01781701</v>
      </c>
      <c r="I1731" s="3" t="n">
        <v>-818347.299126748</v>
      </c>
      <c r="J1731" s="4" t="n">
        <v>-0.0475813659905512</v>
      </c>
      <c r="K1731">
        <f>IF(AND(I1731&gt;0,J1731&gt;=Assumptions!$B$4),1,0)</f>
        <v/>
      </c>
      <c r="L1731" s="3">
        <f>I1731*K1731</f>
        <v/>
      </c>
      <c r="M1731">
        <f>SUM($K$2:K1731)</f>
        <v/>
      </c>
    </row>
    <row r="1732">
      <c r="A1732" t="inlineStr">
        <is>
          <t>240093</t>
        </is>
      </c>
      <c r="B1732" t="inlineStr">
        <is>
          <t>Mayo Clinic Health System - Mankato</t>
        </is>
      </c>
      <c r="C1732" t="inlineStr">
        <is>
          <t>MN</t>
        </is>
      </c>
      <c r="D1732" t="inlineStr">
        <is>
          <t>Metropolitan</t>
        </is>
      </c>
      <c r="E1732" s="5" t="n">
        <v>1262</v>
      </c>
      <c r="F1732" s="4" t="n">
        <v>0.6695721077654516</v>
      </c>
      <c r="G1732" s="4" t="n">
        <v>0.6179516848166476</v>
      </c>
      <c r="H1732" s="3" t="n">
        <v>19176383.14651493</v>
      </c>
      <c r="I1732" s="3" t="n">
        <v>-824781.4493459575</v>
      </c>
      <c r="J1732" s="4" t="n">
        <v>-0.0430102716995332</v>
      </c>
      <c r="K1732">
        <f>IF(AND(I1732&gt;0,J1732&gt;=Assumptions!$B$4),1,0)</f>
        <v/>
      </c>
      <c r="L1732" s="3">
        <f>I1732*K1732</f>
        <v/>
      </c>
      <c r="M1732">
        <f>SUM($K$2:K1732)</f>
        <v/>
      </c>
    </row>
    <row r="1733">
      <c r="A1733" t="inlineStr">
        <is>
          <t>250102</t>
        </is>
      </c>
      <c r="B1733" t="inlineStr">
        <is>
          <t>Mississippi Baptist Medical Center</t>
        </is>
      </c>
      <c r="C1733" t="inlineStr">
        <is>
          <t>MS</t>
        </is>
      </c>
      <c r="D1733" t="inlineStr">
        <is>
          <t>Metropolitan</t>
        </is>
      </c>
      <c r="E1733" s="5" t="n">
        <v>4338</v>
      </c>
      <c r="F1733" s="4" t="n">
        <v>0.603042876901798</v>
      </c>
      <c r="G1733" s="4" t="n">
        <v>0.5695765510929104</v>
      </c>
      <c r="H1733" s="3" t="n">
        <v>77924227.44771414</v>
      </c>
      <c r="I1733" s="3" t="n">
        <v>-825821.2316862643</v>
      </c>
      <c r="J1733" s="4" t="n">
        <v>-0.0105977467949923</v>
      </c>
      <c r="K1733">
        <f>IF(AND(I1733&gt;0,J1733&gt;=Assumptions!$B$4),1,0)</f>
        <v/>
      </c>
      <c r="L1733" s="3">
        <f>I1733*K1733</f>
        <v/>
      </c>
      <c r="M1733">
        <f>SUM($K$2:K1733)</f>
        <v/>
      </c>
    </row>
    <row r="1734">
      <c r="A1734" t="inlineStr">
        <is>
          <t>110035</t>
        </is>
      </c>
      <c r="B1734" t="inlineStr">
        <is>
          <t>Wellstar Kennestone Regional Medical Center</t>
        </is>
      </c>
      <c r="C1734" t="inlineStr">
        <is>
          <t>GA</t>
        </is>
      </c>
      <c r="D1734" t="inlineStr">
        <is>
          <t>Metropolitan</t>
        </is>
      </c>
      <c r="E1734" s="5" t="n">
        <v>6737</v>
      </c>
      <c r="F1734" s="4" t="n">
        <v>0.5356983820691703</v>
      </c>
      <c r="G1734" s="4" t="n">
        <v>0.5226990525940471</v>
      </c>
      <c r="H1734" s="3" t="n">
        <v>116104693.159598</v>
      </c>
      <c r="I1734" s="3" t="n">
        <v>-828646.4122267962</v>
      </c>
      <c r="J1734" s="4" t="n">
        <v>-0.0071370621606805</v>
      </c>
      <c r="K1734">
        <f>IF(AND(I1734&gt;0,J1734&gt;=Assumptions!$B$4),1,0)</f>
        <v/>
      </c>
      <c r="L1734" s="3">
        <f>I1734*K1734</f>
        <v/>
      </c>
      <c r="M1734">
        <f>SUM($K$2:K1734)</f>
        <v/>
      </c>
    </row>
    <row r="1735">
      <c r="A1735" t="inlineStr">
        <is>
          <t>010006</t>
        </is>
      </c>
      <c r="B1735" t="inlineStr">
        <is>
          <t>North Alabama Medical Center</t>
        </is>
      </c>
      <c r="C1735" t="inlineStr">
        <is>
          <t>AL</t>
        </is>
      </c>
      <c r="D1735" t="inlineStr">
        <is>
          <t>Metropolitan</t>
        </is>
      </c>
      <c r="E1735" s="5" t="n">
        <v>2293</v>
      </c>
      <c r="F1735" s="4" t="n">
        <v>0.6210204971652856</v>
      </c>
      <c r="G1735" s="4" t="n">
        <v>0.598277572956862</v>
      </c>
      <c r="H1735" s="3" t="n">
        <v>34627072.18957078</v>
      </c>
      <c r="I1735" s="3" t="n">
        <v>-833385.1843710318</v>
      </c>
      <c r="J1735" s="4" t="n">
        <v>-0.0240674458356902</v>
      </c>
      <c r="K1735">
        <f>IF(AND(I1735&gt;0,J1735&gt;=Assumptions!$B$4),1,0)</f>
        <v/>
      </c>
      <c r="L1735" s="3">
        <f>I1735*K1735</f>
        <v/>
      </c>
      <c r="M1735">
        <f>SUM($K$2:K1735)</f>
        <v/>
      </c>
    </row>
    <row r="1736">
      <c r="A1736" t="inlineStr">
        <is>
          <t>260180</t>
        </is>
      </c>
      <c r="B1736" t="inlineStr">
        <is>
          <t>Christian Hospital Northeast-Northwest</t>
        </is>
      </c>
      <c r="C1736" t="inlineStr">
        <is>
          <t>MO</t>
        </is>
      </c>
      <c r="D1736" t="inlineStr">
        <is>
          <t>Metropolitan</t>
        </is>
      </c>
      <c r="E1736" s="5" t="n">
        <v>1508</v>
      </c>
      <c r="F1736" s="4" t="n">
        <v>0.6903183023872679</v>
      </c>
      <c r="G1736" s="4" t="n">
        <v>0.6361846004930344</v>
      </c>
      <c r="H1736" s="3" t="n">
        <v>24018176.60424228</v>
      </c>
      <c r="I1736" s="3" t="n">
        <v>-839856.4284570552</v>
      </c>
      <c r="J1736" s="4" t="n">
        <v>-0.0349675348922496</v>
      </c>
      <c r="K1736">
        <f>IF(AND(I1736&gt;0,J1736&gt;=Assumptions!$B$4),1,0)</f>
        <v/>
      </c>
      <c r="L1736" s="3">
        <f>I1736*K1736</f>
        <v/>
      </c>
      <c r="M1736">
        <f>SUM($K$2:K1736)</f>
        <v/>
      </c>
    </row>
    <row r="1737">
      <c r="A1737" t="inlineStr">
        <is>
          <t>450668</t>
        </is>
      </c>
      <c r="B1737" t="inlineStr">
        <is>
          <t>Sierra Medical Center</t>
        </is>
      </c>
      <c r="C1737" t="inlineStr">
        <is>
          <t>TX</t>
        </is>
      </c>
      <c r="D1737" t="inlineStr">
        <is>
          <t>Metropolitan</t>
        </is>
      </c>
      <c r="E1737" s="5" t="n">
        <v>574</v>
      </c>
      <c r="F1737" s="4" t="n">
        <v>0.6951219512195121</v>
      </c>
      <c r="G1737" s="4" t="n">
        <v>0.6023900622280044</v>
      </c>
      <c r="H1737" s="3" t="n">
        <v>10732689.8466846</v>
      </c>
      <c r="I1737" s="3" t="n">
        <v>-848707.9655603524</v>
      </c>
      <c r="J1737" s="4" t="n">
        <v>-0.0790769115370014</v>
      </c>
      <c r="K1737">
        <f>IF(AND(I1737&gt;0,J1737&gt;=Assumptions!$B$4),1,0)</f>
        <v/>
      </c>
      <c r="L1737" s="3">
        <f>I1737*K1737</f>
        <v/>
      </c>
      <c r="M1737">
        <f>SUM($K$2:K1737)</f>
        <v/>
      </c>
    </row>
    <row r="1738">
      <c r="A1738" t="inlineStr">
        <is>
          <t>450675</t>
        </is>
      </c>
      <c r="B1738" t="inlineStr">
        <is>
          <t>Medical City Arlington</t>
        </is>
      </c>
      <c r="C1738" t="inlineStr">
        <is>
          <t>TX</t>
        </is>
      </c>
      <c r="D1738" t="inlineStr">
        <is>
          <t>Metropolitan</t>
        </is>
      </c>
      <c r="E1738" s="5" t="n">
        <v>1398</v>
      </c>
      <c r="F1738" s="4" t="n">
        <v>0.7224606580829757</v>
      </c>
      <c r="G1738" s="4" t="n">
        <v>0.6208794644630055</v>
      </c>
      <c r="H1738" s="3" t="n">
        <v>20436698.50547596</v>
      </c>
      <c r="I1738" s="3" t="n">
        <v>-854269.6678491123</v>
      </c>
      <c r="J1738" s="4" t="n">
        <v>-0.0418007667735673</v>
      </c>
      <c r="K1738">
        <f>IF(AND(I1738&gt;0,J1738&gt;=Assumptions!$B$4),1,0)</f>
        <v/>
      </c>
      <c r="L1738" s="3">
        <f>I1738*K1738</f>
        <v/>
      </c>
      <c r="M1738">
        <f>SUM($K$2:K1738)</f>
        <v/>
      </c>
    </row>
    <row r="1739">
      <c r="A1739" t="inlineStr">
        <is>
          <t>240078</t>
        </is>
      </c>
      <c r="B1739" t="inlineStr">
        <is>
          <t>M Health Fairview Southdale Hospital</t>
        </is>
      </c>
      <c r="C1739" t="inlineStr">
        <is>
          <t>MN</t>
        </is>
      </c>
      <c r="D1739" t="inlineStr">
        <is>
          <t>Metropolitan</t>
        </is>
      </c>
      <c r="E1739" s="5" t="n">
        <v>2565</v>
      </c>
      <c r="F1739" s="4" t="n">
        <v>0.5941520467836258</v>
      </c>
      <c r="G1739" s="4" t="n">
        <v>0.5594537927524585</v>
      </c>
      <c r="H1739" s="3" t="n">
        <v>45183067.70856048</v>
      </c>
      <c r="I1739" s="3" t="n">
        <v>-857975.6255016848</v>
      </c>
      <c r="J1739" s="4" t="n">
        <v>-0.0189888750147686</v>
      </c>
      <c r="K1739">
        <f>IF(AND(I1739&gt;0,J1739&gt;=Assumptions!$B$4),1,0)</f>
        <v/>
      </c>
      <c r="L1739" s="3">
        <f>I1739*K1739</f>
        <v/>
      </c>
      <c r="M1739">
        <f>SUM($K$2:K1739)</f>
        <v/>
      </c>
    </row>
    <row r="1740">
      <c r="A1740" t="inlineStr">
        <is>
          <t>360068</t>
        </is>
      </c>
      <c r="B1740" t="inlineStr">
        <is>
          <t>Toledo Hospital The</t>
        </is>
      </c>
      <c r="C1740" t="inlineStr">
        <is>
          <t>OH</t>
        </is>
      </c>
      <c r="D1740" t="inlineStr">
        <is>
          <t>Metropolitan</t>
        </is>
      </c>
      <c r="E1740" s="5" t="n">
        <v>5527</v>
      </c>
      <c r="F1740" s="4" t="n">
        <v>0.5482178396960377</v>
      </c>
      <c r="G1740" s="4" t="n">
        <v>0.5350709786685284</v>
      </c>
      <c r="H1740" s="3" t="n">
        <v>103775697.4768047</v>
      </c>
      <c r="I1740" s="3" t="n">
        <v>-862593.8522824496</v>
      </c>
      <c r="J1740" s="4" t="n">
        <v>-0.0083120988175025</v>
      </c>
      <c r="K1740">
        <f>IF(AND(I1740&gt;0,J1740&gt;=Assumptions!$B$4),1,0)</f>
        <v/>
      </c>
      <c r="L1740" s="3">
        <f>I1740*K1740</f>
        <v/>
      </c>
      <c r="M1740">
        <f>SUM($K$2:K1740)</f>
        <v/>
      </c>
    </row>
    <row r="1741">
      <c r="A1741" t="inlineStr">
        <is>
          <t>030089</t>
        </is>
      </c>
      <c r="B1741" t="inlineStr">
        <is>
          <t>Banner Thunderbird Medical Center</t>
        </is>
      </c>
      <c r="C1741" t="inlineStr">
        <is>
          <t>AZ</t>
        </is>
      </c>
      <c r="D1741" t="inlineStr">
        <is>
          <t>Metropolitan</t>
        </is>
      </c>
      <c r="E1741" s="5" t="n">
        <v>2253</v>
      </c>
      <c r="F1741" s="4" t="n">
        <v>0.6515756768752774</v>
      </c>
      <c r="G1741" s="4" t="n">
        <v>0.5955507041207282</v>
      </c>
      <c r="H1741" s="3" t="n">
        <v>39016670.30350462</v>
      </c>
      <c r="I1741" s="3" t="n">
        <v>-866178.7672924921</v>
      </c>
      <c r="J1741" s="4" t="n">
        <v>-0.0222002226370067</v>
      </c>
      <c r="K1741">
        <f>IF(AND(I1741&gt;0,J1741&gt;=Assumptions!$B$4),1,0)</f>
        <v/>
      </c>
      <c r="L1741" s="3">
        <f>I1741*K1741</f>
        <v/>
      </c>
      <c r="M1741">
        <f>SUM($K$2:K1741)</f>
        <v/>
      </c>
    </row>
    <row r="1742">
      <c r="A1742" t="inlineStr">
        <is>
          <t>450862</t>
        </is>
      </c>
      <c r="B1742" t="inlineStr">
        <is>
          <t>St Luke's The Woodlands Hospital</t>
        </is>
      </c>
      <c r="C1742" t="inlineStr">
        <is>
          <t>TX</t>
        </is>
      </c>
      <c r="D1742" t="inlineStr">
        <is>
          <t>Metropolitan</t>
        </is>
      </c>
      <c r="E1742" s="5" t="n">
        <v>1233</v>
      </c>
      <c r="F1742" s="4" t="n">
        <v>0.6772100567721006</v>
      </c>
      <c r="G1742" s="4" t="n">
        <v>0.6098701215608162</v>
      </c>
      <c r="H1742" s="3" t="n">
        <v>18327834.67127978</v>
      </c>
      <c r="I1742" s="3" t="n">
        <v>-870497.3007313907</v>
      </c>
      <c r="J1742" s="4" t="n">
        <v>-0.0474959162576626</v>
      </c>
      <c r="K1742">
        <f>IF(AND(I1742&gt;0,J1742&gt;=Assumptions!$B$4),1,0)</f>
        <v/>
      </c>
      <c r="L1742" s="3">
        <f>I1742*K1742</f>
        <v/>
      </c>
      <c r="M1742">
        <f>SUM($K$2:K1742)</f>
        <v/>
      </c>
    </row>
    <row r="1743">
      <c r="A1743" t="inlineStr">
        <is>
          <t>050704</t>
        </is>
      </c>
      <c r="B1743" t="inlineStr">
        <is>
          <t>Mission Community Hospital</t>
        </is>
      </c>
      <c r="C1743" t="inlineStr">
        <is>
          <t>CA</t>
        </is>
      </c>
      <c r="D1743" t="inlineStr">
        <is>
          <t>Metropolitan</t>
        </is>
      </c>
      <c r="E1743" s="5" t="n">
        <v>661</v>
      </c>
      <c r="F1743" s="4" t="n">
        <v>0.9001512859304085</v>
      </c>
      <c r="G1743" s="4" t="n">
        <v>0.6922971632860038</v>
      </c>
      <c r="H1743" s="3" t="n">
        <v>9962353.861965263</v>
      </c>
      <c r="I1743" s="3" t="n">
        <v>-872969.6957515404</v>
      </c>
      <c r="J1743" s="4" t="n">
        <v>-0.0876268508273335</v>
      </c>
      <c r="K1743">
        <f>IF(AND(I1743&gt;0,J1743&gt;=Assumptions!$B$4),1,0)</f>
        <v/>
      </c>
      <c r="L1743" s="3">
        <f>I1743*K1743</f>
        <v/>
      </c>
      <c r="M1743">
        <f>SUM($K$2:K1743)</f>
        <v/>
      </c>
    </row>
    <row r="1744">
      <c r="A1744" t="inlineStr">
        <is>
          <t>100118</t>
        </is>
      </c>
      <c r="B1744" t="inlineStr">
        <is>
          <t>Adventhealth Palm Coast</t>
        </is>
      </c>
      <c r="C1744" t="inlineStr">
        <is>
          <t>FL</t>
        </is>
      </c>
      <c r="D1744" t="inlineStr">
        <is>
          <t>Metropolitan</t>
        </is>
      </c>
      <c r="E1744" s="5" t="n">
        <v>1999</v>
      </c>
      <c r="F1744" s="4" t="n">
        <v>0.6973486743371686</v>
      </c>
      <c r="G1744" s="4" t="n">
        <v>0.6422573019104655</v>
      </c>
      <c r="H1744" s="3" t="n">
        <v>30817423.02929552</v>
      </c>
      <c r="I1744" s="3" t="n">
        <v>-879401.3401074596</v>
      </c>
      <c r="J1744" s="4" t="n">
        <v>-0.0285358493236597</v>
      </c>
      <c r="K1744">
        <f>IF(AND(I1744&gt;0,J1744&gt;=Assumptions!$B$4),1,0)</f>
        <v/>
      </c>
      <c r="L1744" s="3">
        <f>I1744*K1744</f>
        <v/>
      </c>
      <c r="M1744">
        <f>SUM($K$2:K1744)</f>
        <v/>
      </c>
    </row>
    <row r="1745">
      <c r="A1745" t="inlineStr">
        <is>
          <t>250001</t>
        </is>
      </c>
      <c r="B1745" t="inlineStr">
        <is>
          <t>University Of Mississippi Med Center</t>
        </is>
      </c>
      <c r="C1745" t="inlineStr">
        <is>
          <t>MS</t>
        </is>
      </c>
      <c r="D1745" t="inlineStr">
        <is>
          <t>Metropolitan</t>
        </is>
      </c>
      <c r="E1745" s="5" t="n">
        <v>2831</v>
      </c>
      <c r="F1745" s="4" t="n">
        <v>0.5591663723066055</v>
      </c>
      <c r="G1745" s="4" t="n">
        <v>0.5526734955689948</v>
      </c>
      <c r="H1745" s="3" t="n">
        <v>58489982.60760419</v>
      </c>
      <c r="I1745" s="3" t="n">
        <v>-880850.6186739355</v>
      </c>
      <c r="J1745" s="4" t="n">
        <v>-0.0150598543443474</v>
      </c>
      <c r="K1745">
        <f>IF(AND(I1745&gt;0,J1745&gt;=Assumptions!$B$4),1,0)</f>
        <v/>
      </c>
      <c r="L1745" s="3">
        <f>I1745*K1745</f>
        <v/>
      </c>
      <c r="M1745">
        <f>SUM($K$2:K1745)</f>
        <v/>
      </c>
    </row>
    <row r="1746">
      <c r="A1746" t="inlineStr">
        <is>
          <t>520030</t>
        </is>
      </c>
      <c r="B1746" t="inlineStr">
        <is>
          <t>Aspirus Wausau Hospital</t>
        </is>
      </c>
      <c r="C1746" t="inlineStr">
        <is>
          <t>WI</t>
        </is>
      </c>
      <c r="D1746" t="inlineStr">
        <is>
          <t>Metropolitan</t>
        </is>
      </c>
      <c r="E1746" s="5" t="n">
        <v>1975</v>
      </c>
      <c r="F1746" s="4" t="n">
        <v>0.5260759493670886</v>
      </c>
      <c r="G1746" s="4" t="n">
        <v>0.4926927524209323</v>
      </c>
      <c r="H1746" s="3" t="n">
        <v>42286908.54224817</v>
      </c>
      <c r="I1746" s="3" t="n">
        <v>-885279.8613476232</v>
      </c>
      <c r="J1746" s="4" t="n">
        <v>-0.0209350811365922</v>
      </c>
      <c r="K1746">
        <f>IF(AND(I1746&gt;0,J1746&gt;=Assumptions!$B$4),1,0)</f>
        <v/>
      </c>
      <c r="L1746" s="3">
        <f>I1746*K1746</f>
        <v/>
      </c>
      <c r="M1746">
        <f>SUM($K$2:K1746)</f>
        <v/>
      </c>
    </row>
    <row r="1747">
      <c r="A1747" t="inlineStr">
        <is>
          <t>100228</t>
        </is>
      </c>
      <c r="B1747" t="inlineStr">
        <is>
          <t>Hca Florida Westside Hospital</t>
        </is>
      </c>
      <c r="C1747" t="inlineStr">
        <is>
          <t>FL</t>
        </is>
      </c>
      <c r="D1747" t="inlineStr">
        <is>
          <t>Metropolitan</t>
        </is>
      </c>
      <c r="E1747" s="5" t="n">
        <v>1806</v>
      </c>
      <c r="F1747" s="4" t="n">
        <v>0.6345514950166113</v>
      </c>
      <c r="G1747" s="4" t="n">
        <v>0.5979528617420509</v>
      </c>
      <c r="H1747" s="3" t="n">
        <v>27372750.07160667</v>
      </c>
      <c r="I1747" s="3" t="n">
        <v>-890782.2614161335</v>
      </c>
      <c r="J1747" s="4" t="n">
        <v>-0.0325426659391497</v>
      </c>
      <c r="K1747">
        <f>IF(AND(I1747&gt;0,J1747&gt;=Assumptions!$B$4),1,0)</f>
        <v/>
      </c>
      <c r="L1747" s="3">
        <f>I1747*K1747</f>
        <v/>
      </c>
      <c r="M1747">
        <f>SUM($K$2:K1747)</f>
        <v/>
      </c>
    </row>
    <row r="1748">
      <c r="A1748" t="inlineStr">
        <is>
          <t>450684</t>
        </is>
      </c>
      <c r="B1748" t="inlineStr">
        <is>
          <t>Memorial Hermann Northeast Hospital</t>
        </is>
      </c>
      <c r="C1748" t="inlineStr">
        <is>
          <t>TX</t>
        </is>
      </c>
      <c r="D1748" t="inlineStr">
        <is>
          <t>Metropolitan</t>
        </is>
      </c>
      <c r="E1748" s="5" t="n">
        <v>1382</v>
      </c>
      <c r="F1748" s="4" t="n">
        <v>0.7973950795947902</v>
      </c>
      <c r="G1748" s="4" t="n">
        <v>0.6995367861471797</v>
      </c>
      <c r="H1748" s="3" t="n">
        <v>21159117.73405029</v>
      </c>
      <c r="I1748" s="3" t="n">
        <v>-894106.1721085906</v>
      </c>
      <c r="J1748" s="4" t="n">
        <v>-0.0422563068718952</v>
      </c>
      <c r="K1748">
        <f>IF(AND(I1748&gt;0,J1748&gt;=Assumptions!$B$4),1,0)</f>
        <v/>
      </c>
      <c r="L1748" s="3">
        <f>I1748*K1748</f>
        <v/>
      </c>
      <c r="M1748">
        <f>SUM($K$2:K1748)</f>
        <v/>
      </c>
    </row>
    <row r="1749">
      <c r="A1749" t="inlineStr">
        <is>
          <t>450403</t>
        </is>
      </c>
      <c r="B1749" t="inlineStr">
        <is>
          <t>Medical City Mckinney</t>
        </is>
      </c>
      <c r="C1749" t="inlineStr">
        <is>
          <t>TX</t>
        </is>
      </c>
      <c r="D1749" t="inlineStr">
        <is>
          <t>Metropolitan</t>
        </is>
      </c>
      <c r="E1749" s="5" t="n">
        <v>1736</v>
      </c>
      <c r="F1749" s="4" t="n">
        <v>0.6238479262672811</v>
      </c>
      <c r="G1749" s="4" t="n">
        <v>0.5678852989725871</v>
      </c>
      <c r="H1749" s="3" t="n">
        <v>24561671.85244189</v>
      </c>
      <c r="I1749" s="3" t="n">
        <v>-894458.0856606923</v>
      </c>
      <c r="J1749" s="4" t="n">
        <v>-0.0364168241899122</v>
      </c>
      <c r="K1749">
        <f>IF(AND(I1749&gt;0,J1749&gt;=Assumptions!$B$4),1,0)</f>
        <v/>
      </c>
      <c r="L1749" s="3">
        <f>I1749*K1749</f>
        <v/>
      </c>
      <c r="M1749">
        <f>SUM($K$2:K1749)</f>
        <v/>
      </c>
    </row>
    <row r="1750">
      <c r="A1750" t="inlineStr">
        <is>
          <t>070033</t>
        </is>
      </c>
      <c r="B1750" t="inlineStr">
        <is>
          <t>Danbury Hospital</t>
        </is>
      </c>
      <c r="C1750" t="inlineStr">
        <is>
          <t>CT</t>
        </is>
      </c>
      <c r="D1750" t="inlineStr">
        <is>
          <t>Metropolitan</t>
        </is>
      </c>
      <c r="E1750" s="5" t="n">
        <v>4572</v>
      </c>
      <c r="F1750" s="4" t="n">
        <v>0.6321084864391951</v>
      </c>
      <c r="G1750" s="4" t="n">
        <v>0.5980776571107885</v>
      </c>
      <c r="H1750" s="3" t="n">
        <v>71763869.27859312</v>
      </c>
      <c r="I1750" s="3" t="n">
        <v>-900578.9964695573</v>
      </c>
      <c r="J1750" s="4" t="n">
        <v>-0.0125491978835956</v>
      </c>
      <c r="K1750">
        <f>IF(AND(I1750&gt;0,J1750&gt;=Assumptions!$B$4),1,0)</f>
        <v/>
      </c>
      <c r="L1750" s="3">
        <f>I1750*K1750</f>
        <v/>
      </c>
      <c r="M1750">
        <f>SUM($K$2:K1750)</f>
        <v/>
      </c>
    </row>
    <row r="1751">
      <c r="A1751" t="inlineStr">
        <is>
          <t>490057</t>
        </is>
      </c>
      <c r="B1751" t="inlineStr">
        <is>
          <t>Sentara Virginia Beach General Hospital</t>
        </is>
      </c>
      <c r="C1751" t="inlineStr">
        <is>
          <t>VA</t>
        </is>
      </c>
      <c r="D1751" t="inlineStr">
        <is>
          <t>Metropolitan</t>
        </is>
      </c>
      <c r="E1751" s="5" t="n">
        <v>3650</v>
      </c>
      <c r="F1751" s="4" t="n">
        <v>0.6441095890410959</v>
      </c>
      <c r="G1751" s="4" t="n">
        <v>0.6140189961838027</v>
      </c>
      <c r="H1751" s="3" t="n">
        <v>58284538.45176691</v>
      </c>
      <c r="I1751" s="3" t="n">
        <v>-901369.0314030944</v>
      </c>
      <c r="J1751" s="4" t="n">
        <v>-0.0154649767390543</v>
      </c>
      <c r="K1751">
        <f>IF(AND(I1751&gt;0,J1751&gt;=Assumptions!$B$4),1,0)</f>
        <v/>
      </c>
      <c r="L1751" s="3">
        <f>I1751*K1751</f>
        <v/>
      </c>
      <c r="M1751">
        <f>SUM($K$2:K1751)</f>
        <v/>
      </c>
    </row>
    <row r="1752">
      <c r="A1752" t="inlineStr">
        <is>
          <t>390046</t>
        </is>
      </c>
      <c r="B1752" t="inlineStr">
        <is>
          <t>Wellspan York Hospital</t>
        </is>
      </c>
      <c r="C1752" t="inlineStr">
        <is>
          <t>PA</t>
        </is>
      </c>
      <c r="D1752" t="inlineStr">
        <is>
          <t>Metropolitan</t>
        </is>
      </c>
      <c r="E1752" s="5" t="n">
        <v>5286</v>
      </c>
      <c r="F1752" s="4" t="n">
        <v>0.5614831630722663</v>
      </c>
      <c r="G1752" s="4" t="n">
        <v>0.5486538294779993</v>
      </c>
      <c r="H1752" s="3" t="n">
        <v>96842270.97936596</v>
      </c>
      <c r="I1752" s="3" t="n">
        <v>-904110.6189681439</v>
      </c>
      <c r="J1752" s="4" t="n">
        <v>-0.009335908894172599</v>
      </c>
      <c r="K1752">
        <f>IF(AND(I1752&gt;0,J1752&gt;=Assumptions!$B$4),1,0)</f>
        <v/>
      </c>
      <c r="L1752" s="3">
        <f>I1752*K1752</f>
        <v/>
      </c>
      <c r="M1752">
        <f>SUM($K$2:K1752)</f>
        <v/>
      </c>
    </row>
    <row r="1753">
      <c r="A1753" t="inlineStr">
        <is>
          <t>100080</t>
        </is>
      </c>
      <c r="B1753" t="inlineStr">
        <is>
          <t>Hca Florida Jfk Hospital</t>
        </is>
      </c>
      <c r="C1753" t="inlineStr">
        <is>
          <t>FL</t>
        </is>
      </c>
      <c r="D1753" t="inlineStr">
        <is>
          <t>Metropolitan</t>
        </is>
      </c>
      <c r="E1753" s="5" t="n">
        <v>4633</v>
      </c>
      <c r="F1753" s="4" t="n">
        <v>0.5676667386142888</v>
      </c>
      <c r="G1753" s="4" t="n">
        <v>0.5552786464248519</v>
      </c>
      <c r="H1753" s="3" t="n">
        <v>77189490.99479392</v>
      </c>
      <c r="I1753" s="3" t="n">
        <v>-906169.3112091572</v>
      </c>
      <c r="J1753" s="4" t="n">
        <v>-0.0117395425145409</v>
      </c>
      <c r="K1753">
        <f>IF(AND(I1753&gt;0,J1753&gt;=Assumptions!$B$4),1,0)</f>
        <v/>
      </c>
      <c r="L1753" s="3">
        <f>I1753*K1753</f>
        <v/>
      </c>
      <c r="M1753">
        <f>SUM($K$2:K1753)</f>
        <v/>
      </c>
    </row>
    <row r="1754">
      <c r="A1754" t="inlineStr">
        <is>
          <t>380004</t>
        </is>
      </c>
      <c r="B1754" t="inlineStr">
        <is>
          <t>Providence St Vincent Medical Center</t>
        </is>
      </c>
      <c r="C1754" t="inlineStr">
        <is>
          <t>OR</t>
        </is>
      </c>
      <c r="D1754" t="inlineStr">
        <is>
          <t>Metropolitan</t>
        </is>
      </c>
      <c r="E1754" s="5" t="n">
        <v>3178</v>
      </c>
      <c r="F1754" s="4" t="n">
        <v>0.5774071743234739</v>
      </c>
      <c r="G1754" s="4" t="n">
        <v>0.5594678685814967</v>
      </c>
      <c r="H1754" s="3" t="n">
        <v>62802817.21118393</v>
      </c>
      <c r="I1754" s="3" t="n">
        <v>-906229.3583822772</v>
      </c>
      <c r="J1754" s="4" t="n">
        <v>-0.014429756476289</v>
      </c>
      <c r="K1754">
        <f>IF(AND(I1754&gt;0,J1754&gt;=Assumptions!$B$4),1,0)</f>
        <v/>
      </c>
      <c r="L1754" s="3">
        <f>I1754*K1754</f>
        <v/>
      </c>
      <c r="M1754">
        <f>SUM($K$2:K1754)</f>
        <v/>
      </c>
    </row>
    <row r="1755">
      <c r="A1755" t="inlineStr">
        <is>
          <t>100131</t>
        </is>
      </c>
      <c r="B1755" t="inlineStr">
        <is>
          <t>Hca Florida Aventura Hospital</t>
        </is>
      </c>
      <c r="C1755" t="inlineStr">
        <is>
          <t>FL</t>
        </is>
      </c>
      <c r="D1755" t="inlineStr">
        <is>
          <t>Metropolitan</t>
        </is>
      </c>
      <c r="E1755" s="5" t="n">
        <v>2032</v>
      </c>
      <c r="F1755" s="4" t="n">
        <v>0.656988188976378</v>
      </c>
      <c r="G1755" s="4" t="n">
        <v>0.5935416552710314</v>
      </c>
      <c r="H1755" s="3" t="n">
        <v>29591832.18370393</v>
      </c>
      <c r="I1755" s="3" t="n">
        <v>-917775.2965700366</v>
      </c>
      <c r="J1755" s="4" t="n">
        <v>-0.0310144803090445</v>
      </c>
      <c r="K1755">
        <f>IF(AND(I1755&gt;0,J1755&gt;=Assumptions!$B$4),1,0)</f>
        <v/>
      </c>
      <c r="L1755" s="3">
        <f>I1755*K1755</f>
        <v/>
      </c>
      <c r="M1755">
        <f>SUM($K$2:K1755)</f>
        <v/>
      </c>
    </row>
    <row r="1756">
      <c r="A1756" t="inlineStr">
        <is>
          <t>450056</t>
        </is>
      </c>
      <c r="B1756" t="inlineStr">
        <is>
          <t>Ascension Seton Medical Center Austin</t>
        </is>
      </c>
      <c r="C1756" t="inlineStr">
        <is>
          <t>TX</t>
        </is>
      </c>
      <c r="D1756" t="inlineStr">
        <is>
          <t>Metropolitan</t>
        </is>
      </c>
      <c r="E1756" s="5" t="n">
        <v>1805</v>
      </c>
      <c r="F1756" s="4" t="n">
        <v>0.5795013850415512</v>
      </c>
      <c r="G1756" s="4" t="n">
        <v>0.5450047256696048</v>
      </c>
      <c r="H1756" s="3" t="n">
        <v>34701812.70127361</v>
      </c>
      <c r="I1756" s="3" t="n">
        <v>-920791.7607669384</v>
      </c>
      <c r="J1756" s="4" t="n">
        <v>-0.0265343994762885</v>
      </c>
      <c r="K1756">
        <f>IF(AND(I1756&gt;0,J1756&gt;=Assumptions!$B$4),1,0)</f>
        <v/>
      </c>
      <c r="L1756" s="3">
        <f>I1756*K1756</f>
        <v/>
      </c>
      <c r="M1756">
        <f>SUM($K$2:K1756)</f>
        <v/>
      </c>
    </row>
    <row r="1757">
      <c r="A1757" t="inlineStr">
        <is>
          <t>060024</t>
        </is>
      </c>
      <c r="B1757" t="inlineStr">
        <is>
          <t>University Of Colorado Hospital Authority</t>
        </is>
      </c>
      <c r="C1757" t="inlineStr">
        <is>
          <t>CO</t>
        </is>
      </c>
      <c r="D1757" t="inlineStr">
        <is>
          <t>Metropolitan</t>
        </is>
      </c>
      <c r="E1757" s="5" t="n">
        <v>4862</v>
      </c>
      <c r="F1757" s="4" t="n">
        <v>0.5178938708350473</v>
      </c>
      <c r="G1757" s="4" t="n">
        <v>0.5243549192538008</v>
      </c>
      <c r="H1757" s="3" t="n">
        <v>104293567.565792</v>
      </c>
      <c r="I1757" s="3" t="n">
        <v>-924807.7584569454</v>
      </c>
      <c r="J1757" s="4" t="n">
        <v>-0.0088673518419392</v>
      </c>
      <c r="K1757">
        <f>IF(AND(I1757&gt;0,J1757&gt;=Assumptions!$B$4),1,0)</f>
        <v/>
      </c>
      <c r="L1757" s="3">
        <f>I1757*K1757</f>
        <v/>
      </c>
      <c r="M1757">
        <f>SUM($K$2:K1757)</f>
        <v/>
      </c>
    </row>
    <row r="1758">
      <c r="A1758" t="inlineStr">
        <is>
          <t>500039</t>
        </is>
      </c>
      <c r="B1758" t="inlineStr">
        <is>
          <t>St Michael Medical Center</t>
        </is>
      </c>
      <c r="C1758" t="inlineStr">
        <is>
          <t>WA</t>
        </is>
      </c>
      <c r="D1758" t="inlineStr">
        <is>
          <t>Metropolitan</t>
        </is>
      </c>
      <c r="E1758" s="5" t="n">
        <v>3368</v>
      </c>
      <c r="F1758" s="4" t="n">
        <v>0.6398456057007126</v>
      </c>
      <c r="G1758" s="4" t="n">
        <v>0.5994350634187079</v>
      </c>
      <c r="H1758" s="3" t="n">
        <v>64565134.56089926</v>
      </c>
      <c r="I1758" s="3" t="n">
        <v>-925432.993717812</v>
      </c>
      <c r="J1758" s="4" t="n">
        <v>-0.0143333240147578</v>
      </c>
      <c r="K1758">
        <f>IF(AND(I1758&gt;0,J1758&gt;=Assumptions!$B$4),1,0)</f>
        <v/>
      </c>
      <c r="L1758" s="3">
        <f>I1758*K1758</f>
        <v/>
      </c>
      <c r="M1758">
        <f>SUM($K$2:K1758)</f>
        <v/>
      </c>
    </row>
    <row r="1759">
      <c r="A1759" t="inlineStr">
        <is>
          <t>050063</t>
        </is>
      </c>
      <c r="B1759" t="inlineStr">
        <is>
          <t>Hollywood Presbyterian Medical Center</t>
        </is>
      </c>
      <c r="C1759" t="inlineStr">
        <is>
          <t>CA</t>
        </is>
      </c>
      <c r="D1759" t="inlineStr">
        <is>
          <t>Metropolitan</t>
        </is>
      </c>
      <c r="E1759" s="5" t="n">
        <v>1122</v>
      </c>
      <c r="F1759" s="4" t="n">
        <v>0.7834224598930482</v>
      </c>
      <c r="G1759" s="4" t="n">
        <v>0.6738633890894933</v>
      </c>
      <c r="H1759" s="3" t="n">
        <v>16540747.61921814</v>
      </c>
      <c r="I1759" s="3" t="n">
        <v>-927002.1495763082</v>
      </c>
      <c r="J1759" s="4" t="n">
        <v>-0.0560435459700295</v>
      </c>
      <c r="K1759">
        <f>IF(AND(I1759&gt;0,J1759&gt;=Assumptions!$B$4),1,0)</f>
        <v/>
      </c>
      <c r="L1759" s="3">
        <f>I1759*K1759</f>
        <v/>
      </c>
      <c r="M1759">
        <f>SUM($K$2:K1759)</f>
        <v/>
      </c>
    </row>
    <row r="1760">
      <c r="A1760" t="inlineStr">
        <is>
          <t>100209</t>
        </is>
      </c>
      <c r="B1760" t="inlineStr">
        <is>
          <t>Hca Florida Kendall Hospital</t>
        </is>
      </c>
      <c r="C1760" t="inlineStr">
        <is>
          <t>FL</t>
        </is>
      </c>
      <c r="D1760" t="inlineStr">
        <is>
          <t>Metropolitan</t>
        </is>
      </c>
      <c r="E1760" s="5" t="n">
        <v>931</v>
      </c>
      <c r="F1760" s="4" t="n">
        <v>0.7959183673469388</v>
      </c>
      <c r="G1760" s="4" t="n">
        <v>0.6530376408767642</v>
      </c>
      <c r="H1760" s="3" t="n">
        <v>13665066.25864324</v>
      </c>
      <c r="I1760" s="3" t="n">
        <v>-929017.1050774156</v>
      </c>
      <c r="J1760" s="4" t="n">
        <v>-0.06798482257558069</v>
      </c>
      <c r="K1760">
        <f>IF(AND(I1760&gt;0,J1760&gt;=Assumptions!$B$4),1,0)</f>
        <v/>
      </c>
      <c r="L1760" s="3">
        <f>I1760*K1760</f>
        <v/>
      </c>
      <c r="M1760">
        <f>SUM($K$2:K1760)</f>
        <v/>
      </c>
    </row>
    <row r="1761">
      <c r="A1761" t="inlineStr">
        <is>
          <t>450102</t>
        </is>
      </c>
      <c r="B1761" t="inlineStr">
        <is>
          <t>Christus Mother Frances Hospital</t>
        </is>
      </c>
      <c r="C1761" t="inlineStr">
        <is>
          <t>TX</t>
        </is>
      </c>
      <c r="D1761" t="inlineStr">
        <is>
          <t>Metropolitan</t>
        </is>
      </c>
      <c r="E1761" s="5" t="n">
        <v>5213</v>
      </c>
      <c r="F1761" s="4" t="n">
        <v>0.5848839439861884</v>
      </c>
      <c r="G1761" s="4" t="n">
        <v>0.5458667863912766</v>
      </c>
      <c r="H1761" s="3" t="n">
        <v>90242424.71277332</v>
      </c>
      <c r="I1761" s="3" t="n">
        <v>-933345.3964179456</v>
      </c>
      <c r="J1761" s="4" t="n">
        <v>-0.010342645373156</v>
      </c>
      <c r="K1761">
        <f>IF(AND(I1761&gt;0,J1761&gt;=Assumptions!$B$4),1,0)</f>
        <v/>
      </c>
      <c r="L1761" s="3">
        <f>I1761*K1761</f>
        <v/>
      </c>
      <c r="M1761">
        <f>SUM($K$2:K1761)</f>
        <v/>
      </c>
    </row>
    <row r="1762">
      <c r="A1762" t="inlineStr">
        <is>
          <t>230227</t>
        </is>
      </c>
      <c r="B1762" t="inlineStr">
        <is>
          <t>Mclaren Macomb</t>
        </is>
      </c>
      <c r="C1762" t="inlineStr">
        <is>
          <t>MI</t>
        </is>
      </c>
      <c r="D1762" t="inlineStr">
        <is>
          <t>Metropolitan</t>
        </is>
      </c>
      <c r="E1762" s="5" t="n">
        <v>1494</v>
      </c>
      <c r="F1762" s="4" t="n">
        <v>0.6626506024096386</v>
      </c>
      <c r="G1762" s="4" t="n">
        <v>0.5919472787967555</v>
      </c>
      <c r="H1762" s="3" t="n">
        <v>22332929.31554821</v>
      </c>
      <c r="I1762" s="3" t="n">
        <v>-933396.7718603836</v>
      </c>
      <c r="J1762" s="4" t="n">
        <v>-0.0417946413868131</v>
      </c>
      <c r="K1762">
        <f>IF(AND(I1762&gt;0,J1762&gt;=Assumptions!$B$4),1,0)</f>
        <v/>
      </c>
      <c r="L1762" s="3">
        <f>I1762*K1762</f>
        <v/>
      </c>
      <c r="M1762">
        <f>SUM($K$2:K1762)</f>
        <v/>
      </c>
    </row>
    <row r="1763">
      <c r="A1763" t="inlineStr">
        <is>
          <t>100068</t>
        </is>
      </c>
      <c r="B1763" t="inlineStr">
        <is>
          <t>Adventhealth Daytona Beach</t>
        </is>
      </c>
      <c r="C1763" t="inlineStr">
        <is>
          <t>FL</t>
        </is>
      </c>
      <c r="D1763" t="inlineStr">
        <is>
          <t>Metropolitan</t>
        </is>
      </c>
      <c r="E1763" s="5" t="n">
        <v>4303</v>
      </c>
      <c r="F1763" s="4" t="n">
        <v>0.5640250987683012</v>
      </c>
      <c r="G1763" s="4" t="n">
        <v>0.541697615550021</v>
      </c>
      <c r="H1763" s="3" t="n">
        <v>76482508.50871338</v>
      </c>
      <c r="I1763" s="3" t="n">
        <v>-941311.6131201684</v>
      </c>
      <c r="J1763" s="4" t="n">
        <v>-0.0123075410505518</v>
      </c>
      <c r="K1763">
        <f>IF(AND(I1763&gt;0,J1763&gt;=Assumptions!$B$4),1,0)</f>
        <v/>
      </c>
      <c r="L1763" s="3">
        <f>I1763*K1763</f>
        <v/>
      </c>
      <c r="M1763">
        <f>SUM($K$2:K1763)</f>
        <v/>
      </c>
    </row>
    <row r="1764">
      <c r="A1764" t="inlineStr">
        <is>
          <t>310019</t>
        </is>
      </c>
      <c r="B1764" t="inlineStr">
        <is>
          <t>St Joseph's University Medical Center Inc</t>
        </is>
      </c>
      <c r="C1764" t="inlineStr">
        <is>
          <t>NJ</t>
        </is>
      </c>
      <c r="D1764" t="inlineStr">
        <is>
          <t>Metropolitan</t>
        </is>
      </c>
      <c r="E1764" s="5" t="n">
        <v>2266</v>
      </c>
      <c r="F1764" s="4" t="n">
        <v>0.6562224183583407</v>
      </c>
      <c r="G1764" s="4" t="n">
        <v>0.5985908842116819</v>
      </c>
      <c r="H1764" s="3" t="n">
        <v>36949904.53600145</v>
      </c>
      <c r="I1764" s="3" t="n">
        <v>-944217.8641835004</v>
      </c>
      <c r="J1764" s="4" t="n">
        <v>-0.0255540000993377</v>
      </c>
      <c r="K1764">
        <f>IF(AND(I1764&gt;0,J1764&gt;=Assumptions!$B$4),1,0)</f>
        <v/>
      </c>
      <c r="L1764" s="3">
        <f>I1764*K1764</f>
        <v/>
      </c>
      <c r="M1764">
        <f>SUM($K$2:K1764)</f>
        <v/>
      </c>
    </row>
    <row r="1765">
      <c r="A1765" t="inlineStr">
        <is>
          <t>050104</t>
        </is>
      </c>
      <c r="B1765" t="inlineStr">
        <is>
          <t>Saint Francis Medical Center</t>
        </is>
      </c>
      <c r="C1765" t="inlineStr">
        <is>
          <t>CA</t>
        </is>
      </c>
      <c r="D1765" t="inlineStr">
        <is>
          <t>Metropolitan</t>
        </is>
      </c>
      <c r="E1765" s="5" t="n">
        <v>988</v>
      </c>
      <c r="F1765" s="4" t="n">
        <v>0.8410931174089069</v>
      </c>
      <c r="G1765" s="4" t="n">
        <v>0.7001737045619836</v>
      </c>
      <c r="H1765" s="3" t="n">
        <v>14728811.80432757</v>
      </c>
      <c r="I1765" s="3" t="n">
        <v>-946126.753611207</v>
      </c>
      <c r="J1765" s="4" t="n">
        <v>-0.0642364615815933</v>
      </c>
      <c r="K1765">
        <f>IF(AND(I1765&gt;0,J1765&gt;=Assumptions!$B$4),1,0)</f>
        <v/>
      </c>
      <c r="L1765" s="3">
        <f>I1765*K1765</f>
        <v/>
      </c>
      <c r="M1765">
        <f>SUM($K$2:K1765)</f>
        <v/>
      </c>
    </row>
    <row r="1766">
      <c r="A1766" t="inlineStr">
        <is>
          <t>450132</t>
        </is>
      </c>
      <c r="B1766" t="inlineStr">
        <is>
          <t>Medical Center Hospital</t>
        </is>
      </c>
      <c r="C1766" t="inlineStr">
        <is>
          <t>TX</t>
        </is>
      </c>
      <c r="D1766" t="inlineStr">
        <is>
          <t>Metropolitan</t>
        </is>
      </c>
      <c r="E1766" s="5" t="n">
        <v>1428</v>
      </c>
      <c r="F1766" s="4" t="n">
        <v>0.7044817927170869</v>
      </c>
      <c r="G1766" s="4" t="n">
        <v>0.6365852210817241</v>
      </c>
      <c r="H1766" s="3" t="n">
        <v>23901333.11785582</v>
      </c>
      <c r="I1766" s="3" t="n">
        <v>-950580.8020280636</v>
      </c>
      <c r="J1766" s="4" t="n">
        <v>-0.0397710369267193</v>
      </c>
      <c r="K1766">
        <f>IF(AND(I1766&gt;0,J1766&gt;=Assumptions!$B$4),1,0)</f>
        <v/>
      </c>
      <c r="L1766" s="3">
        <f>I1766*K1766</f>
        <v/>
      </c>
      <c r="M1766">
        <f>SUM($K$2:K1766)</f>
        <v/>
      </c>
    </row>
    <row r="1767">
      <c r="A1767" t="inlineStr">
        <is>
          <t>260020</t>
        </is>
      </c>
      <c r="B1767" t="inlineStr">
        <is>
          <t>Mercy Hospital St Louis</t>
        </is>
      </c>
      <c r="C1767" t="inlineStr">
        <is>
          <t>MO</t>
        </is>
      </c>
      <c r="D1767" t="inlineStr">
        <is>
          <t>Metropolitan</t>
        </is>
      </c>
      <c r="E1767" s="5" t="n">
        <v>5042</v>
      </c>
      <c r="F1767" s="4" t="n">
        <v>0.5454184847282825</v>
      </c>
      <c r="G1767" s="4" t="n">
        <v>0.5186748466728187</v>
      </c>
      <c r="H1767" s="3" t="n">
        <v>84494602.97444963</v>
      </c>
      <c r="I1767" s="3" t="n">
        <v>-956474.414451182</v>
      </c>
      <c r="J1767" s="4" t="n">
        <v>-0.0113199468460773</v>
      </c>
      <c r="K1767">
        <f>IF(AND(I1767&gt;0,J1767&gt;=Assumptions!$B$4),1,0)</f>
        <v/>
      </c>
      <c r="L1767" s="3">
        <f>I1767*K1767</f>
        <v/>
      </c>
      <c r="M1767">
        <f>SUM($K$2:K1767)</f>
        <v/>
      </c>
    </row>
    <row r="1768">
      <c r="A1768" t="inlineStr">
        <is>
          <t>040055</t>
        </is>
      </c>
      <c r="B1768" t="inlineStr">
        <is>
          <t>Baptist Health - Fort Smith</t>
        </is>
      </c>
      <c r="C1768" t="inlineStr">
        <is>
          <t>AR</t>
        </is>
      </c>
      <c r="D1768" t="inlineStr">
        <is>
          <t>Metropolitan</t>
        </is>
      </c>
      <c r="E1768" s="5" t="n">
        <v>2334</v>
      </c>
      <c r="F1768" s="4" t="n">
        <v>0.6692373607540703</v>
      </c>
      <c r="G1768" s="4" t="n">
        <v>0.60186497645556</v>
      </c>
      <c r="H1768" s="3" t="n">
        <v>32812947.81940794</v>
      </c>
      <c r="I1768" s="3" t="n">
        <v>-963408.8664282112</v>
      </c>
      <c r="J1768" s="4" t="n">
        <v>-0.0293606314108232</v>
      </c>
      <c r="K1768">
        <f>IF(AND(I1768&gt;0,J1768&gt;=Assumptions!$B$4),1,0)</f>
        <v/>
      </c>
      <c r="L1768" s="3">
        <f>I1768*K1768</f>
        <v/>
      </c>
      <c r="M1768">
        <f>SUM($K$2:K1768)</f>
        <v/>
      </c>
    </row>
    <row r="1769">
      <c r="A1769" t="inlineStr">
        <is>
          <t>050174</t>
        </is>
      </c>
      <c r="B1769" t="inlineStr">
        <is>
          <t>Providence Santa Rosa Memorial Hospital</t>
        </is>
      </c>
      <c r="C1769" t="inlineStr">
        <is>
          <t>CA</t>
        </is>
      </c>
      <c r="D1769" t="inlineStr">
        <is>
          <t>Metropolitan</t>
        </is>
      </c>
      <c r="E1769" s="5" t="n">
        <v>2912</v>
      </c>
      <c r="F1769" s="4" t="n">
        <v>0.6129807692307693</v>
      </c>
      <c r="G1769" s="4" t="n">
        <v>0.5614278027102153</v>
      </c>
      <c r="H1769" s="3" t="n">
        <v>53111329.72536316</v>
      </c>
      <c r="I1769" s="3" t="n">
        <v>-968679.4899308756</v>
      </c>
      <c r="J1769" s="4" t="n">
        <v>-0.0182386600926748</v>
      </c>
      <c r="K1769">
        <f>IF(AND(I1769&gt;0,J1769&gt;=Assumptions!$B$4),1,0)</f>
        <v/>
      </c>
      <c r="L1769" s="3">
        <f>I1769*K1769</f>
        <v/>
      </c>
      <c r="M1769">
        <f>SUM($K$2:K1769)</f>
        <v/>
      </c>
    </row>
    <row r="1770">
      <c r="A1770" t="inlineStr">
        <is>
          <t>100001</t>
        </is>
      </c>
      <c r="B1770" t="inlineStr">
        <is>
          <t>Uf Health Jacksonville</t>
        </is>
      </c>
      <c r="C1770" t="inlineStr">
        <is>
          <t>FL</t>
        </is>
      </c>
      <c r="D1770" t="inlineStr">
        <is>
          <t>Metropolitan</t>
        </is>
      </c>
      <c r="E1770" s="5" t="n">
        <v>2255</v>
      </c>
      <c r="F1770" s="4" t="n">
        <v>0.633259423503326</v>
      </c>
      <c r="G1770" s="4" t="n">
        <v>0.590019005495076</v>
      </c>
      <c r="H1770" s="3" t="n">
        <v>34821694.75926312</v>
      </c>
      <c r="I1770" s="3" t="n">
        <v>-973710.1480070502</v>
      </c>
      <c r="J1770" s="4" t="n">
        <v>-0.0279627443390884</v>
      </c>
      <c r="K1770">
        <f>IF(AND(I1770&gt;0,J1770&gt;=Assumptions!$B$4),1,0)</f>
        <v/>
      </c>
      <c r="L1770" s="3">
        <f>I1770*K1770</f>
        <v/>
      </c>
      <c r="M1770">
        <f>SUM($K$2:K1770)</f>
        <v/>
      </c>
    </row>
    <row r="1771">
      <c r="A1771" t="inlineStr">
        <is>
          <t>450809</t>
        </is>
      </c>
      <c r="B1771" t="inlineStr">
        <is>
          <t>North Austin Medical Center</t>
        </is>
      </c>
      <c r="C1771" t="inlineStr">
        <is>
          <t>TX</t>
        </is>
      </c>
      <c r="D1771" t="inlineStr">
        <is>
          <t>Metropolitan</t>
        </is>
      </c>
      <c r="E1771" s="5" t="n">
        <v>1675</v>
      </c>
      <c r="F1771" s="4" t="n">
        <v>0.6555223880597015</v>
      </c>
      <c r="G1771" s="4" t="n">
        <v>0.5964321182351522</v>
      </c>
      <c r="H1771" s="3" t="n">
        <v>25939124.18995091</v>
      </c>
      <c r="I1771" s="3" t="n">
        <v>-974533.1509901956</v>
      </c>
      <c r="J1771" s="4" t="n">
        <v>-0.0375700098374077</v>
      </c>
      <c r="K1771">
        <f>IF(AND(I1771&gt;0,J1771&gt;=Assumptions!$B$4),1,0)</f>
        <v/>
      </c>
      <c r="L1771" s="3">
        <f>I1771*K1771</f>
        <v/>
      </c>
      <c r="M1771">
        <f>SUM($K$2:K1771)</f>
        <v/>
      </c>
    </row>
    <row r="1772">
      <c r="A1772" t="inlineStr">
        <is>
          <t>140228</t>
        </is>
      </c>
      <c r="B1772" t="inlineStr">
        <is>
          <t>Swedish American Hospital</t>
        </is>
      </c>
      <c r="C1772" t="inlineStr">
        <is>
          <t>IL</t>
        </is>
      </c>
      <c r="D1772" t="inlineStr">
        <is>
          <t>Metropolitan</t>
        </is>
      </c>
      <c r="E1772" s="5" t="n">
        <v>1910</v>
      </c>
      <c r="F1772" s="4" t="n">
        <v>0.7193717277486911</v>
      </c>
      <c r="G1772" s="4" t="n">
        <v>0.6387579984022133</v>
      </c>
      <c r="H1772" s="3" t="n">
        <v>28250499.94794305</v>
      </c>
      <c r="I1772" s="3" t="n">
        <v>-981546.7560284472</v>
      </c>
      <c r="J1772" s="4" t="n">
        <v>-0.0347444030313493</v>
      </c>
      <c r="K1772">
        <f>IF(AND(I1772&gt;0,J1772&gt;=Assumptions!$B$4),1,0)</f>
        <v/>
      </c>
      <c r="L1772" s="3">
        <f>I1772*K1772</f>
        <v/>
      </c>
      <c r="M1772">
        <f>SUM($K$2:K1772)</f>
        <v/>
      </c>
    </row>
    <row r="1773">
      <c r="A1773" t="inlineStr">
        <is>
          <t>140276</t>
        </is>
      </c>
      <c r="B1773" t="inlineStr">
        <is>
          <t>Loyola University Medical Center</t>
        </is>
      </c>
      <c r="C1773" t="inlineStr">
        <is>
          <t>IL</t>
        </is>
      </c>
      <c r="D1773" t="inlineStr">
        <is>
          <t>Metropolitan</t>
        </is>
      </c>
      <c r="E1773" s="5" t="n">
        <v>2895</v>
      </c>
      <c r="F1773" s="4" t="n">
        <v>0.5561312607944733</v>
      </c>
      <c r="G1773" s="4" t="n">
        <v>0.5426420165732919</v>
      </c>
      <c r="H1773" s="3" t="n">
        <v>60716763.17986526</v>
      </c>
      <c r="I1773" s="3" t="n">
        <v>-983661.0720698236</v>
      </c>
      <c r="J1773" s="4" t="n">
        <v>-0.0162008154017673</v>
      </c>
      <c r="K1773">
        <f>IF(AND(I1773&gt;0,J1773&gt;=Assumptions!$B$4),1,0)</f>
        <v/>
      </c>
      <c r="L1773" s="3">
        <f>I1773*K1773</f>
        <v/>
      </c>
      <c r="M1773">
        <f>SUM($K$2:K1773)</f>
        <v/>
      </c>
    </row>
    <row r="1774">
      <c r="A1774" t="inlineStr">
        <is>
          <t>220036</t>
        </is>
      </c>
      <c r="B1774" t="inlineStr">
        <is>
          <t>St Elizabeth's Medical Center</t>
        </is>
      </c>
      <c r="C1774" t="inlineStr">
        <is>
          <t>MA</t>
        </is>
      </c>
      <c r="D1774" t="inlineStr">
        <is>
          <t>Metropolitan</t>
        </is>
      </c>
      <c r="E1774" s="5" t="n">
        <v>1500</v>
      </c>
      <c r="F1774" s="4" t="n">
        <v>0.5726666666666667</v>
      </c>
      <c r="G1774" s="4" t="n">
        <v>0.5064789828862772</v>
      </c>
      <c r="H1774" s="3" t="n">
        <v>33915246.45109645</v>
      </c>
      <c r="I1774" s="3" t="n">
        <v>-1000863.043582208</v>
      </c>
      <c r="J1774" s="4" t="n">
        <v>-0.0295107112084645</v>
      </c>
      <c r="K1774">
        <f>IF(AND(I1774&gt;0,J1774&gt;=Assumptions!$B$4),1,0)</f>
        <v/>
      </c>
      <c r="L1774" s="3">
        <f>I1774*K1774</f>
        <v/>
      </c>
      <c r="M1774">
        <f>SUM($K$2:K1774)</f>
        <v/>
      </c>
    </row>
    <row r="1775">
      <c r="A1775" t="inlineStr">
        <is>
          <t>060064</t>
        </is>
      </c>
      <c r="B1775" t="inlineStr">
        <is>
          <t>Adventhealth Porter</t>
        </is>
      </c>
      <c r="C1775" t="inlineStr">
        <is>
          <t>CO</t>
        </is>
      </c>
      <c r="D1775" t="inlineStr">
        <is>
          <t>Metropolitan</t>
        </is>
      </c>
      <c r="E1775" s="5" t="n">
        <v>602</v>
      </c>
      <c r="F1775" s="4" t="n">
        <v>0.5116279069767442</v>
      </c>
      <c r="G1775" s="4" t="n">
        <v>0.522838634039313</v>
      </c>
      <c r="H1775" s="3" t="n">
        <v>12896915.61827375</v>
      </c>
      <c r="I1775" s="3" t="n">
        <v>-1015225.951265888</v>
      </c>
      <c r="J1775" s="4" t="n">
        <v>-0.0787185076893428</v>
      </c>
      <c r="K1775">
        <f>IF(AND(I1775&gt;0,J1775&gt;=Assumptions!$B$4),1,0)</f>
        <v/>
      </c>
      <c r="L1775" s="3">
        <f>I1775*K1775</f>
        <v/>
      </c>
      <c r="M1775">
        <f>SUM($K$2:K1775)</f>
        <v/>
      </c>
    </row>
    <row r="1776">
      <c r="A1776" t="inlineStr">
        <is>
          <t>360179</t>
        </is>
      </c>
      <c r="B1776" t="inlineStr">
        <is>
          <t>Bethesda North</t>
        </is>
      </c>
      <c r="C1776" t="inlineStr">
        <is>
          <t>OH</t>
        </is>
      </c>
      <c r="D1776" t="inlineStr">
        <is>
          <t>Metropolitan</t>
        </is>
      </c>
      <c r="E1776" s="5" t="n">
        <v>4128</v>
      </c>
      <c r="F1776" s="4" t="n">
        <v>0.5455426356589147</v>
      </c>
      <c r="G1776" s="4" t="n">
        <v>0.5215638117878472</v>
      </c>
      <c r="H1776" s="3" t="n">
        <v>71213480.01359008</v>
      </c>
      <c r="I1776" s="3" t="n">
        <v>-1020587.231924042</v>
      </c>
      <c r="J1776" s="4" t="n">
        <v>-0.0143313770332425</v>
      </c>
      <c r="K1776">
        <f>IF(AND(I1776&gt;0,J1776&gt;=Assumptions!$B$4),1,0)</f>
        <v/>
      </c>
      <c r="L1776" s="3">
        <f>I1776*K1776</f>
        <v/>
      </c>
      <c r="M1776">
        <f>SUM($K$2:K1776)</f>
        <v/>
      </c>
    </row>
    <row r="1777">
      <c r="A1777" t="inlineStr">
        <is>
          <t>050169</t>
        </is>
      </c>
      <c r="B1777" t="inlineStr">
        <is>
          <t>Pih Health Hospital-Whittier</t>
        </is>
      </c>
      <c r="C1777" t="inlineStr">
        <is>
          <t>CA</t>
        </is>
      </c>
      <c r="D1777" t="inlineStr">
        <is>
          <t>Metropolitan</t>
        </is>
      </c>
      <c r="E1777" s="5" t="n">
        <v>2097</v>
      </c>
      <c r="F1777" s="4" t="n">
        <v>0.7176919408679066</v>
      </c>
      <c r="G1777" s="4" t="n">
        <v>0.6526122791942953</v>
      </c>
      <c r="H1777" s="3" t="n">
        <v>32047101.03246192</v>
      </c>
      <c r="I1777" s="3" t="n">
        <v>-1023349.825515274</v>
      </c>
      <c r="J1777" s="4" t="n">
        <v>-0.031932680103535</v>
      </c>
      <c r="K1777">
        <f>IF(AND(I1777&gt;0,J1777&gt;=Assumptions!$B$4),1,0)</f>
        <v/>
      </c>
      <c r="L1777" s="3">
        <f>I1777*K1777</f>
        <v/>
      </c>
      <c r="M1777">
        <f>SUM($K$2:K1777)</f>
        <v/>
      </c>
    </row>
    <row r="1778">
      <c r="A1778" t="inlineStr">
        <is>
          <t>420002</t>
        </is>
      </c>
      <c r="B1778" t="inlineStr">
        <is>
          <t>Piedmont Medical Center</t>
        </is>
      </c>
      <c r="C1778" t="inlineStr">
        <is>
          <t>SC</t>
        </is>
      </c>
      <c r="D1778" t="inlineStr">
        <is>
          <t>Metropolitan</t>
        </is>
      </c>
      <c r="E1778" s="5" t="n">
        <v>2302</v>
      </c>
      <c r="F1778" s="4" t="n">
        <v>0.6646394439617723</v>
      </c>
      <c r="G1778" s="4" t="n">
        <v>0.6075500898471579</v>
      </c>
      <c r="H1778" s="3" t="n">
        <v>33308908.72693128</v>
      </c>
      <c r="I1778" s="3" t="n">
        <v>-1024659.521954317</v>
      </c>
      <c r="J1778" s="4" t="n">
        <v>-0.0307623263900521</v>
      </c>
      <c r="K1778">
        <f>IF(AND(I1778&gt;0,J1778&gt;=Assumptions!$B$4),1,0)</f>
        <v/>
      </c>
      <c r="L1778" s="3">
        <f>I1778*K1778</f>
        <v/>
      </c>
      <c r="M1778">
        <f>SUM($K$2:K1778)</f>
        <v/>
      </c>
    </row>
    <row r="1779">
      <c r="A1779" t="inlineStr">
        <is>
          <t>370037</t>
        </is>
      </c>
      <c r="B1779" t="inlineStr">
        <is>
          <t>Ssm Health St Anthony Hospital - Oklahoma City</t>
        </is>
      </c>
      <c r="C1779" t="inlineStr">
        <is>
          <t>OK</t>
        </is>
      </c>
      <c r="D1779" t="inlineStr">
        <is>
          <t>Metropolitan</t>
        </is>
      </c>
      <c r="E1779" s="5" t="n">
        <v>3204</v>
      </c>
      <c r="F1779" s="4" t="n">
        <v>0.5805243445692884</v>
      </c>
      <c r="G1779" s="4" t="n">
        <v>0.5375088185487917</v>
      </c>
      <c r="H1779" s="3" t="n">
        <v>63842796.99541125</v>
      </c>
      <c r="I1779" s="3" t="n">
        <v>-1035551.481874548</v>
      </c>
      <c r="J1779" s="4" t="n">
        <v>-0.0162203338608266</v>
      </c>
      <c r="K1779">
        <f>IF(AND(I1779&gt;0,J1779&gt;=Assumptions!$B$4),1,0)</f>
        <v/>
      </c>
      <c r="L1779" s="3">
        <f>I1779*K1779</f>
        <v/>
      </c>
      <c r="M1779">
        <f>SUM($K$2:K1779)</f>
        <v/>
      </c>
    </row>
    <row r="1780">
      <c r="A1780" t="inlineStr">
        <is>
          <t>050056</t>
        </is>
      </c>
      <c r="B1780" t="inlineStr">
        <is>
          <t>Antelope Valley Hospital</t>
        </is>
      </c>
      <c r="C1780" t="inlineStr">
        <is>
          <t>CA</t>
        </is>
      </c>
      <c r="D1780" t="inlineStr">
        <is>
          <t>Metropolitan</t>
        </is>
      </c>
      <c r="E1780" s="5" t="n">
        <v>1329</v>
      </c>
      <c r="F1780" s="4" t="n">
        <v>0.7336343115124153</v>
      </c>
      <c r="G1780" s="4" t="n">
        <v>0.6363838240008443</v>
      </c>
      <c r="H1780" s="3" t="n">
        <v>23866299.39806985</v>
      </c>
      <c r="I1780" s="3" t="n">
        <v>-1035993.689662531</v>
      </c>
      <c r="J1780" s="4" t="n">
        <v>-0.0434082248103497</v>
      </c>
      <c r="K1780">
        <f>IF(AND(I1780&gt;0,J1780&gt;=Assumptions!$B$4),1,0)</f>
        <v/>
      </c>
      <c r="L1780" s="3">
        <f>I1780*K1780</f>
        <v/>
      </c>
      <c r="M1780">
        <f>SUM($K$2:K1780)</f>
        <v/>
      </c>
    </row>
    <row r="1781">
      <c r="A1781" t="inlineStr">
        <is>
          <t>050077</t>
        </is>
      </c>
      <c r="B1781" t="inlineStr">
        <is>
          <t>Scripps Mercy Hospital</t>
        </is>
      </c>
      <c r="C1781" t="inlineStr">
        <is>
          <t>CA</t>
        </is>
      </c>
      <c r="D1781" t="inlineStr">
        <is>
          <t>Metropolitan</t>
        </is>
      </c>
      <c r="E1781" s="5" t="n">
        <v>2850</v>
      </c>
      <c r="F1781" s="4" t="n">
        <v>0.6221052631578947</v>
      </c>
      <c r="G1781" s="4" t="n">
        <v>0.5961293312004562</v>
      </c>
      <c r="H1781" s="3" t="n">
        <v>45512950.13127571</v>
      </c>
      <c r="I1781" s="3" t="n">
        <v>-1039871.234983563</v>
      </c>
      <c r="J1781" s="4" t="n">
        <v>-0.0228478099526442</v>
      </c>
      <c r="K1781">
        <f>IF(AND(I1781&gt;0,J1781&gt;=Assumptions!$B$4),1,0)</f>
        <v/>
      </c>
      <c r="L1781" s="3">
        <f>I1781*K1781</f>
        <v/>
      </c>
      <c r="M1781">
        <f>SUM($K$2:K1781)</f>
        <v/>
      </c>
    </row>
    <row r="1782">
      <c r="A1782" t="inlineStr">
        <is>
          <t>050353</t>
        </is>
      </c>
      <c r="B1782" t="inlineStr">
        <is>
          <t>Providence Little Company Of Mary Med Ctr Torrance</t>
        </is>
      </c>
      <c r="C1782" t="inlineStr">
        <is>
          <t>CA</t>
        </is>
      </c>
      <c r="D1782" t="inlineStr">
        <is>
          <t>Metropolitan</t>
        </is>
      </c>
      <c r="E1782" s="5" t="n">
        <v>1733</v>
      </c>
      <c r="F1782" s="4" t="n">
        <v>0.6970571263704558</v>
      </c>
      <c r="G1782" s="4" t="n">
        <v>0.6198590425505812</v>
      </c>
      <c r="H1782" s="3" t="n">
        <v>24165485.20466291</v>
      </c>
      <c r="I1782" s="3" t="n">
        <v>-1045651.637163606</v>
      </c>
      <c r="J1782" s="4" t="n">
        <v>-0.043270459016558</v>
      </c>
      <c r="K1782">
        <f>IF(AND(I1782&gt;0,J1782&gt;=Assumptions!$B$4),1,0)</f>
        <v/>
      </c>
      <c r="L1782" s="3">
        <f>I1782*K1782</f>
        <v/>
      </c>
      <c r="M1782">
        <f>SUM($K$2:K1782)</f>
        <v/>
      </c>
    </row>
    <row r="1783">
      <c r="A1783" t="inlineStr">
        <is>
          <t>050324</t>
        </is>
      </c>
      <c r="B1783" t="inlineStr">
        <is>
          <t>Scripps Memorial Hospital La Jolla</t>
        </is>
      </c>
      <c r="C1783" t="inlineStr">
        <is>
          <t>CA</t>
        </is>
      </c>
      <c r="D1783" t="inlineStr">
        <is>
          <t>Metropolitan</t>
        </is>
      </c>
      <c r="E1783" s="5" t="n">
        <v>4817</v>
      </c>
      <c r="F1783" s="4" t="n">
        <v>0.5179572347934399</v>
      </c>
      <c r="G1783" s="4" t="n">
        <v>0.5008276854198196</v>
      </c>
      <c r="H1783" s="3" t="n">
        <v>92912175.89446691</v>
      </c>
      <c r="I1783" s="3" t="n">
        <v>-1053547.837845698</v>
      </c>
      <c r="J1783" s="4" t="n">
        <v>-0.0113391794746294</v>
      </c>
      <c r="K1783">
        <f>IF(AND(I1783&gt;0,J1783&gt;=Assumptions!$B$4),1,0)</f>
        <v/>
      </c>
      <c r="L1783" s="3">
        <f>I1783*K1783</f>
        <v/>
      </c>
      <c r="M1783">
        <f>SUM($K$2:K1783)</f>
        <v/>
      </c>
    </row>
    <row r="1784">
      <c r="A1784" t="inlineStr">
        <is>
          <t>450119</t>
        </is>
      </c>
      <c r="B1784" t="inlineStr">
        <is>
          <t>South Texas Health System Behavioral</t>
        </is>
      </c>
      <c r="C1784" t="inlineStr">
        <is>
          <t>TX</t>
        </is>
      </c>
      <c r="D1784" t="inlineStr">
        <is>
          <t>Metropolitan</t>
        </is>
      </c>
      <c r="E1784" s="5" t="n">
        <v>1537</v>
      </c>
      <c r="F1784" s="4" t="n">
        <v>0.7293428757319453</v>
      </c>
      <c r="G1784" s="4" t="n">
        <v>0.6549389901533522</v>
      </c>
      <c r="H1784" s="3" t="n">
        <v>25415380.65891993</v>
      </c>
      <c r="I1784" s="3" t="n">
        <v>-1059454.078266893</v>
      </c>
      <c r="J1784" s="4" t="n">
        <v>-0.0416855483097027</v>
      </c>
      <c r="K1784">
        <f>IF(AND(I1784&gt;0,J1784&gt;=Assumptions!$B$4),1,0)</f>
        <v/>
      </c>
      <c r="L1784" s="3">
        <f>I1784*K1784</f>
        <v/>
      </c>
      <c r="M1784">
        <f>SUM($K$2:K1784)</f>
        <v/>
      </c>
    </row>
    <row r="1785">
      <c r="A1785" t="inlineStr">
        <is>
          <t>110076</t>
        </is>
      </c>
      <c r="B1785" t="inlineStr">
        <is>
          <t>Emory Decatur Hospital</t>
        </is>
      </c>
      <c r="C1785" t="inlineStr">
        <is>
          <t>GA</t>
        </is>
      </c>
      <c r="D1785" t="inlineStr">
        <is>
          <t>Metropolitan</t>
        </is>
      </c>
      <c r="E1785" s="5" t="n">
        <v>1008</v>
      </c>
      <c r="F1785" s="4" t="n">
        <v>0.8134920634920635</v>
      </c>
      <c r="G1785" s="4" t="n">
        <v>0.6722301330252675</v>
      </c>
      <c r="H1785" s="3" t="n">
        <v>14819404.8965617</v>
      </c>
      <c r="I1785" s="3" t="n">
        <v>-1060336.977430277</v>
      </c>
      <c r="J1785" s="4" t="n">
        <v>-0.0715505774240832</v>
      </c>
      <c r="K1785">
        <f>IF(AND(I1785&gt;0,J1785&gt;=Assumptions!$B$4),1,0)</f>
        <v/>
      </c>
      <c r="L1785" s="3">
        <f>I1785*K1785</f>
        <v/>
      </c>
      <c r="M1785">
        <f>SUM($K$2:K1785)</f>
        <v/>
      </c>
    </row>
    <row r="1786">
      <c r="A1786" t="inlineStr">
        <is>
          <t>450610</t>
        </is>
      </c>
      <c r="B1786" t="inlineStr">
        <is>
          <t>Memorial Hermann Memorial City Medical Center</t>
        </is>
      </c>
      <c r="C1786" t="inlineStr">
        <is>
          <t>TX</t>
        </is>
      </c>
      <c r="D1786" t="inlineStr">
        <is>
          <t>Metropolitan</t>
        </is>
      </c>
      <c r="E1786" s="5" t="n">
        <v>1989</v>
      </c>
      <c r="F1786" s="4" t="n">
        <v>0.6420311714429362</v>
      </c>
      <c r="G1786" s="4" t="n">
        <v>0.5729292696665986</v>
      </c>
      <c r="H1786" s="3" t="n">
        <v>39189805.70074318</v>
      </c>
      <c r="I1786" s="3" t="n">
        <v>-1061523.717014603</v>
      </c>
      <c r="J1786" s="4" t="n">
        <v>-0.027086730797302</v>
      </c>
      <c r="K1786">
        <f>IF(AND(I1786&gt;0,J1786&gt;=Assumptions!$B$4),1,0)</f>
        <v/>
      </c>
      <c r="L1786" s="3">
        <f>I1786*K1786</f>
        <v/>
      </c>
      <c r="M1786">
        <f>SUM($K$2:K1786)</f>
        <v/>
      </c>
    </row>
    <row r="1787">
      <c r="A1787" t="inlineStr">
        <is>
          <t>230197</t>
        </is>
      </c>
      <c r="B1787" t="inlineStr">
        <is>
          <t>Ascension Genesys Hospital</t>
        </is>
      </c>
      <c r="C1787" t="inlineStr">
        <is>
          <t>MI</t>
        </is>
      </c>
      <c r="D1787" t="inlineStr">
        <is>
          <t>Metropolitan</t>
        </is>
      </c>
      <c r="E1787" s="5" t="n">
        <v>2176</v>
      </c>
      <c r="F1787" s="4" t="n">
        <v>0.6888786764705882</v>
      </c>
      <c r="G1787" s="4" t="n">
        <v>0.6100983598085538</v>
      </c>
      <c r="H1787" s="3" t="n">
        <v>32974817.03088512</v>
      </c>
      <c r="I1787" s="3" t="n">
        <v>-1079187.192762189</v>
      </c>
      <c r="J1787" s="4" t="n">
        <v>-0.0327276173132785</v>
      </c>
      <c r="K1787">
        <f>IF(AND(I1787&gt;0,J1787&gt;=Assumptions!$B$4),1,0)</f>
        <v/>
      </c>
      <c r="L1787" s="3">
        <f>I1787*K1787</f>
        <v/>
      </c>
      <c r="M1787">
        <f>SUM($K$2:K1787)</f>
        <v/>
      </c>
    </row>
    <row r="1788">
      <c r="A1788" t="inlineStr">
        <is>
          <t>110034</t>
        </is>
      </c>
      <c r="B1788" t="inlineStr">
        <is>
          <t>Wellstar Mcg Health, Affiliated With Med Col</t>
        </is>
      </c>
      <c r="C1788" t="inlineStr">
        <is>
          <t>GA</t>
        </is>
      </c>
      <c r="D1788" t="inlineStr">
        <is>
          <t>Metropolitan</t>
        </is>
      </c>
      <c r="E1788" s="5" t="n">
        <v>1858</v>
      </c>
      <c r="F1788" s="4" t="n">
        <v>0.616254036598493</v>
      </c>
      <c r="G1788" s="4" t="n">
        <v>0.5825526688547018</v>
      </c>
      <c r="H1788" s="3" t="n">
        <v>33729445.11011096</v>
      </c>
      <c r="I1788" s="3" t="n">
        <v>-1084497.603135288</v>
      </c>
      <c r="J1788" s="4" t="n">
        <v>-0.0321528444833559</v>
      </c>
      <c r="K1788">
        <f>IF(AND(I1788&gt;0,J1788&gt;=Assumptions!$B$4),1,0)</f>
        <v/>
      </c>
      <c r="L1788" s="3">
        <f>I1788*K1788</f>
        <v/>
      </c>
      <c r="M1788">
        <f>SUM($K$2:K1788)</f>
        <v/>
      </c>
    </row>
    <row r="1789">
      <c r="A1789" t="inlineStr">
        <is>
          <t>360134</t>
        </is>
      </c>
      <c r="B1789" t="inlineStr">
        <is>
          <t>Good Samaritan Hospital</t>
        </is>
      </c>
      <c r="C1789" t="inlineStr">
        <is>
          <t>OH</t>
        </is>
      </c>
      <c r="D1789" t="inlineStr">
        <is>
          <t>Metropolitan</t>
        </is>
      </c>
      <c r="E1789" s="5" t="n">
        <v>1551</v>
      </c>
      <c r="F1789" s="4" t="n">
        <v>0.5731785944551901</v>
      </c>
      <c r="G1789" s="4" t="n">
        <v>0.5575564457087219</v>
      </c>
      <c r="H1789" s="3" t="n">
        <v>28255567.29450726</v>
      </c>
      <c r="I1789" s="3" t="n">
        <v>-1084993.532536797</v>
      </c>
      <c r="J1789" s="4" t="n">
        <v>-0.0383992832714321</v>
      </c>
      <c r="K1789">
        <f>IF(AND(I1789&gt;0,J1789&gt;=Assumptions!$B$4),1,0)</f>
        <v/>
      </c>
      <c r="L1789" s="3">
        <f>I1789*K1789</f>
        <v/>
      </c>
      <c r="M1789">
        <f>SUM($K$2:K1789)</f>
        <v/>
      </c>
    </row>
    <row r="1790">
      <c r="A1790" t="inlineStr">
        <is>
          <t>050082</t>
        </is>
      </c>
      <c r="B1790" t="inlineStr">
        <is>
          <t>St Johns Regional Medical Center</t>
        </is>
      </c>
      <c r="C1790" t="inlineStr">
        <is>
          <t>CA</t>
        </is>
      </c>
      <c r="D1790" t="inlineStr">
        <is>
          <t>Metropolitan</t>
        </is>
      </c>
      <c r="E1790" s="5" t="n">
        <v>3006</v>
      </c>
      <c r="F1790" s="4" t="n">
        <v>0.6922821024617432</v>
      </c>
      <c r="G1790" s="4" t="n">
        <v>0.6518106486363744</v>
      </c>
      <c r="H1790" s="3" t="n">
        <v>46426457.03180197</v>
      </c>
      <c r="I1790" s="3" t="n">
        <v>-1094833.68039374</v>
      </c>
      <c r="J1790" s="4" t="n">
        <v>-0.0235821070654558</v>
      </c>
      <c r="K1790">
        <f>IF(AND(I1790&gt;0,J1790&gt;=Assumptions!$B$4),1,0)</f>
        <v/>
      </c>
      <c r="L1790" s="3">
        <f>I1790*K1790</f>
        <v/>
      </c>
      <c r="M1790">
        <f>SUM($K$2:K1790)</f>
        <v/>
      </c>
    </row>
    <row r="1791">
      <c r="A1791" t="inlineStr">
        <is>
          <t>120022</t>
        </is>
      </c>
      <c r="B1791" t="inlineStr">
        <is>
          <t>Straub Clinic And Hospital</t>
        </is>
      </c>
      <c r="C1791" t="inlineStr">
        <is>
          <t>HI</t>
        </is>
      </c>
      <c r="D1791" t="inlineStr">
        <is>
          <t>Metropolitan</t>
        </is>
      </c>
      <c r="E1791" s="5" t="n">
        <v>1093</v>
      </c>
      <c r="F1791" s="4" t="n">
        <v>0.6752058554437328</v>
      </c>
      <c r="G1791" s="4" t="n">
        <v>0.5857654733518054</v>
      </c>
      <c r="H1791" s="3" t="n">
        <v>20630860.96810774</v>
      </c>
      <c r="I1791" s="3" t="n">
        <v>-1096834.584399361</v>
      </c>
      <c r="J1791" s="4" t="n">
        <v>-0.0531647509085978</v>
      </c>
      <c r="K1791">
        <f>IF(AND(I1791&gt;0,J1791&gt;=Assumptions!$B$4),1,0)</f>
        <v/>
      </c>
      <c r="L1791" s="3">
        <f>I1791*K1791</f>
        <v/>
      </c>
      <c r="M1791">
        <f>SUM($K$2:K1791)</f>
        <v/>
      </c>
    </row>
    <row r="1792">
      <c r="A1792" t="inlineStr">
        <is>
          <t>050300</t>
        </is>
      </c>
      <c r="B1792" t="inlineStr">
        <is>
          <t>St Mary Medical Center</t>
        </is>
      </c>
      <c r="C1792" t="inlineStr">
        <is>
          <t>CA</t>
        </is>
      </c>
      <c r="D1792" t="inlineStr">
        <is>
          <t>Metropolitan</t>
        </is>
      </c>
      <c r="E1792" s="5" t="n">
        <v>1334</v>
      </c>
      <c r="F1792" s="4" t="n">
        <v>0.7616191904047976</v>
      </c>
      <c r="G1792" s="4" t="n">
        <v>0.6435498882754563</v>
      </c>
      <c r="H1792" s="3" t="n">
        <v>18496367.78480216</v>
      </c>
      <c r="I1792" s="3" t="n">
        <v>-1103958.665827535</v>
      </c>
      <c r="J1792" s="4" t="n">
        <v>-0.0596851597390175</v>
      </c>
      <c r="K1792">
        <f>IF(AND(I1792&gt;0,J1792&gt;=Assumptions!$B$4),1,0)</f>
        <v/>
      </c>
      <c r="L1792" s="3">
        <f>I1792*K1792</f>
        <v/>
      </c>
      <c r="M1792">
        <f>SUM($K$2:K1792)</f>
        <v/>
      </c>
    </row>
    <row r="1793">
      <c r="A1793" t="inlineStr">
        <is>
          <t>050485</t>
        </is>
      </c>
      <c r="B1793" t="inlineStr">
        <is>
          <t>Memorialcare Long Beach Medical Center</t>
        </is>
      </c>
      <c r="C1793" t="inlineStr">
        <is>
          <t>CA</t>
        </is>
      </c>
      <c r="D1793" t="inlineStr">
        <is>
          <t>Metropolitan</t>
        </is>
      </c>
      <c r="E1793" s="5" t="n">
        <v>1839</v>
      </c>
      <c r="F1793" s="4" t="n">
        <v>0.6150081566068516</v>
      </c>
      <c r="G1793" s="4" t="n">
        <v>0.5528541302964085</v>
      </c>
      <c r="H1793" s="3" t="n">
        <v>35638920.90566894</v>
      </c>
      <c r="I1793" s="3" t="n">
        <v>-1105649.344279908</v>
      </c>
      <c r="J1793" s="4" t="n">
        <v>-0.0310236481964872</v>
      </c>
      <c r="K1793">
        <f>IF(AND(I1793&gt;0,J1793&gt;=Assumptions!$B$4),1,0)</f>
        <v/>
      </c>
      <c r="L1793" s="3">
        <f>I1793*K1793</f>
        <v/>
      </c>
      <c r="M1793">
        <f>SUM($K$2:K1793)</f>
        <v/>
      </c>
    </row>
    <row r="1794">
      <c r="A1794" t="inlineStr">
        <is>
          <t>380102</t>
        </is>
      </c>
      <c r="B1794" t="inlineStr">
        <is>
          <t>Sacred Heart Medical Center - Riverbend</t>
        </is>
      </c>
      <c r="C1794" t="inlineStr">
        <is>
          <t>OR</t>
        </is>
      </c>
      <c r="D1794" t="inlineStr">
        <is>
          <t>Metropolitan</t>
        </is>
      </c>
      <c r="E1794" s="5" t="n">
        <v>2791</v>
      </c>
      <c r="F1794" s="4" t="n">
        <v>0.5962020781082049</v>
      </c>
      <c r="G1794" s="4" t="n">
        <v>0.5553400091975604</v>
      </c>
      <c r="H1794" s="3" t="n">
        <v>52995538.20180782</v>
      </c>
      <c r="I1794" s="3" t="n">
        <v>-1107942.543337286</v>
      </c>
      <c r="J1794" s="4" t="n">
        <v>-0.0209063362866176</v>
      </c>
      <c r="K1794">
        <f>IF(AND(I1794&gt;0,J1794&gt;=Assumptions!$B$4),1,0)</f>
        <v/>
      </c>
      <c r="L1794" s="3">
        <f>I1794*K1794</f>
        <v/>
      </c>
      <c r="M1794">
        <f>SUM($K$2:K1794)</f>
        <v/>
      </c>
    </row>
    <row r="1795">
      <c r="A1795" t="inlineStr">
        <is>
          <t>440006</t>
        </is>
      </c>
      <c r="B1795" t="inlineStr">
        <is>
          <t>Tristar Skyline Medical Center</t>
        </is>
      </c>
      <c r="C1795" t="inlineStr">
        <is>
          <t>TN</t>
        </is>
      </c>
      <c r="D1795" t="inlineStr">
        <is>
          <t>Metropolitan</t>
        </is>
      </c>
      <c r="E1795" s="5" t="n">
        <v>1340</v>
      </c>
      <c r="F1795" s="4" t="n">
        <v>0.6701492537313433</v>
      </c>
      <c r="G1795" s="4" t="n">
        <v>0.5848999515248529</v>
      </c>
      <c r="H1795" s="3" t="n">
        <v>21025506.50049986</v>
      </c>
      <c r="I1795" s="3" t="n">
        <v>-1109815.52826567</v>
      </c>
      <c r="J1795" s="4" t="n">
        <v>-0.0527842469925414</v>
      </c>
      <c r="K1795">
        <f>IF(AND(I1795&gt;0,J1795&gt;=Assumptions!$B$4),1,0)</f>
        <v/>
      </c>
      <c r="L1795" s="3">
        <f>I1795*K1795</f>
        <v/>
      </c>
      <c r="M1795">
        <f>SUM($K$2:K1795)</f>
        <v/>
      </c>
    </row>
    <row r="1796">
      <c r="A1796" t="inlineStr">
        <is>
          <t>450677</t>
        </is>
      </c>
      <c r="B1796" t="inlineStr">
        <is>
          <t>Texas Health Huguley Hospital Fort Worth South</t>
        </is>
      </c>
      <c r="C1796" t="inlineStr">
        <is>
          <t>TX</t>
        </is>
      </c>
      <c r="D1796" t="inlineStr">
        <is>
          <t>Metropolitan</t>
        </is>
      </c>
      <c r="E1796" s="5" t="n">
        <v>1143</v>
      </c>
      <c r="F1796" s="4" t="n">
        <v>0.7821522309711286</v>
      </c>
      <c r="G1796" s="4" t="n">
        <v>0.6469638302102049</v>
      </c>
      <c r="H1796" s="3" t="n">
        <v>15476268.66458463</v>
      </c>
      <c r="I1796" s="3" t="n">
        <v>-1124930.204124043</v>
      </c>
      <c r="J1796" s="4" t="n">
        <v>-0.0726874305754522</v>
      </c>
      <c r="K1796">
        <f>IF(AND(I1796&gt;0,J1796&gt;=Assumptions!$B$4),1,0)</f>
        <v/>
      </c>
      <c r="L1796" s="3">
        <f>I1796*K1796</f>
        <v/>
      </c>
      <c r="M1796">
        <f>SUM($K$2:K1796)</f>
        <v/>
      </c>
    </row>
    <row r="1797">
      <c r="A1797" t="inlineStr">
        <is>
          <t>290046</t>
        </is>
      </c>
      <c r="B1797" t="inlineStr">
        <is>
          <t>Spring Valley Hospital Medical Center</t>
        </is>
      </c>
      <c r="C1797" t="inlineStr">
        <is>
          <t>NV</t>
        </is>
      </c>
      <c r="D1797" t="inlineStr">
        <is>
          <t>Metropolitan</t>
        </is>
      </c>
      <c r="E1797" s="5" t="n">
        <v>1666</v>
      </c>
      <c r="F1797" s="4" t="n">
        <v>0.65906362545018</v>
      </c>
      <c r="G1797" s="4" t="n">
        <v>0.5872260087056429</v>
      </c>
      <c r="H1797" s="3" t="n">
        <v>26987446.41904147</v>
      </c>
      <c r="I1797" s="3" t="n">
        <v>-1130459.114061754</v>
      </c>
      <c r="J1797" s="4" t="n">
        <v>-0.0418883319491887</v>
      </c>
      <c r="K1797">
        <f>IF(AND(I1797&gt;0,J1797&gt;=Assumptions!$B$4),1,0)</f>
        <v/>
      </c>
      <c r="L1797" s="3">
        <f>I1797*K1797</f>
        <v/>
      </c>
      <c r="M1797">
        <f>SUM($K$2:K1797)</f>
        <v/>
      </c>
    </row>
    <row r="1798">
      <c r="A1798" t="inlineStr">
        <is>
          <t>390164</t>
        </is>
      </c>
      <c r="B1798" t="inlineStr">
        <is>
          <t>Upmc Presbyterian Shadyside</t>
        </is>
      </c>
      <c r="C1798" t="inlineStr">
        <is>
          <t>PA</t>
        </is>
      </c>
      <c r="D1798" t="inlineStr">
        <is>
          <t>Metropolitan</t>
        </is>
      </c>
      <c r="E1798" s="5" t="n">
        <v>5503</v>
      </c>
      <c r="F1798" s="4" t="n">
        <v>0.5202616754497547</v>
      </c>
      <c r="G1798" s="4" t="n">
        <v>0.5185070289687415</v>
      </c>
      <c r="H1798" s="3" t="n">
        <v>115474126.8676585</v>
      </c>
      <c r="I1798" s="3" t="n">
        <v>-1135005.168492585</v>
      </c>
      <c r="J1798" s="4" t="n">
        <v>-0.0098290863874067</v>
      </c>
      <c r="K1798">
        <f>IF(AND(I1798&gt;0,J1798&gt;=Assumptions!$B$4),1,0)</f>
        <v/>
      </c>
      <c r="L1798" s="3">
        <f>I1798*K1798</f>
        <v/>
      </c>
      <c r="M1798">
        <f>SUM($K$2:K1798)</f>
        <v/>
      </c>
    </row>
    <row r="1799">
      <c r="A1799" t="inlineStr">
        <is>
          <t>450723</t>
        </is>
      </c>
      <c r="B1799" t="inlineStr">
        <is>
          <t>Methodist Charlton Medical Center</t>
        </is>
      </c>
      <c r="C1799" t="inlineStr">
        <is>
          <t>TX</t>
        </is>
      </c>
      <c r="D1799" t="inlineStr">
        <is>
          <t>Metropolitan</t>
        </is>
      </c>
      <c r="E1799" s="5" t="n">
        <v>1327</v>
      </c>
      <c r="F1799" s="4" t="n">
        <v>0.8176337603617182</v>
      </c>
      <c r="G1799" s="4" t="n">
        <v>0.6961067711948646</v>
      </c>
      <c r="H1799" s="3" t="n">
        <v>18755079.18789365</v>
      </c>
      <c r="I1799" s="3" t="n">
        <v>-1137650.088826358</v>
      </c>
      <c r="J1799" s="4" t="n">
        <v>-0.0606582396922487</v>
      </c>
      <c r="K1799">
        <f>IF(AND(I1799&gt;0,J1799&gt;=Assumptions!$B$4),1,0)</f>
        <v/>
      </c>
      <c r="L1799" s="3">
        <f>I1799*K1799</f>
        <v/>
      </c>
      <c r="M1799">
        <f>SUM($K$2:K1799)</f>
        <v/>
      </c>
    </row>
    <row r="1800">
      <c r="A1800" t="inlineStr">
        <is>
          <t>320001</t>
        </is>
      </c>
      <c r="B1800" t="inlineStr">
        <is>
          <t>Unm Hospital</t>
        </is>
      </c>
      <c r="C1800" t="inlineStr">
        <is>
          <t>NM</t>
        </is>
      </c>
      <c r="D1800" t="inlineStr">
        <is>
          <t>Metropolitan</t>
        </is>
      </c>
      <c r="E1800" s="5" t="n">
        <v>1260</v>
      </c>
      <c r="F1800" s="4" t="n">
        <v>0.7174603174603175</v>
      </c>
      <c r="G1800" s="4" t="n">
        <v>0.6163502506332329</v>
      </c>
      <c r="H1800" s="3" t="n">
        <v>22435948.53884746</v>
      </c>
      <c r="I1800" s="3" t="n">
        <v>-1147328.314636596</v>
      </c>
      <c r="J1800" s="4" t="n">
        <v>-0.0511379455452938</v>
      </c>
      <c r="K1800">
        <f>IF(AND(I1800&gt;0,J1800&gt;=Assumptions!$B$4),1,0)</f>
        <v/>
      </c>
      <c r="L1800" s="3">
        <f>I1800*K1800</f>
        <v/>
      </c>
      <c r="M1800">
        <f>SUM($K$2:K1800)</f>
        <v/>
      </c>
    </row>
    <row r="1801">
      <c r="A1801" t="inlineStr">
        <is>
          <t>050047</t>
        </is>
      </c>
      <c r="B1801" t="inlineStr">
        <is>
          <t>California Pacific Medical Center- Van Ness Campus</t>
        </is>
      </c>
      <c r="C1801" t="inlineStr">
        <is>
          <t>CA</t>
        </is>
      </c>
      <c r="D1801" t="inlineStr">
        <is>
          <t>Metropolitan</t>
        </is>
      </c>
      <c r="E1801" s="5" t="n">
        <v>2322</v>
      </c>
      <c r="F1801" s="4" t="n">
        <v>0.5727820844099913</v>
      </c>
      <c r="G1801" s="4" t="n">
        <v>0.5640872045730018</v>
      </c>
      <c r="H1801" s="3" t="n">
        <v>45627102.16618419</v>
      </c>
      <c r="I1801" s="3" t="n">
        <v>-1152830.979033165</v>
      </c>
      <c r="J1801" s="4" t="n">
        <v>-0.0252663641629988</v>
      </c>
      <c r="K1801">
        <f>IF(AND(I1801&gt;0,J1801&gt;=Assumptions!$B$4),1,0)</f>
        <v/>
      </c>
      <c r="L1801" s="3">
        <f>I1801*K1801</f>
        <v/>
      </c>
      <c r="M1801">
        <f>SUM($K$2:K1801)</f>
        <v/>
      </c>
    </row>
    <row r="1802">
      <c r="A1802" t="inlineStr">
        <is>
          <t>520138</t>
        </is>
      </c>
      <c r="B1802" t="inlineStr">
        <is>
          <t>Aurora St Lukes Medical Center</t>
        </is>
      </c>
      <c r="C1802" t="inlineStr">
        <is>
          <t>WI</t>
        </is>
      </c>
      <c r="D1802" t="inlineStr">
        <is>
          <t>Metropolitan</t>
        </is>
      </c>
      <c r="E1802" s="5" t="n">
        <v>5654</v>
      </c>
      <c r="F1802" s="4" t="n">
        <v>0.5716307039264238</v>
      </c>
      <c r="G1802" s="4" t="n">
        <v>0.5524840175153021</v>
      </c>
      <c r="H1802" s="3" t="n">
        <v>107571391.8354085</v>
      </c>
      <c r="I1802" s="3" t="n">
        <v>-1153822.894543096</v>
      </c>
      <c r="J1802" s="4" t="n">
        <v>-0.0107261129084257</v>
      </c>
      <c r="K1802">
        <f>IF(AND(I1802&gt;0,J1802&gt;=Assumptions!$B$4),1,0)</f>
        <v/>
      </c>
      <c r="L1802" s="3">
        <f>I1802*K1802</f>
        <v/>
      </c>
      <c r="M1802">
        <f>SUM($K$2:K1802)</f>
        <v/>
      </c>
    </row>
    <row r="1803">
      <c r="A1803" t="inlineStr">
        <is>
          <t>450617</t>
        </is>
      </c>
      <c r="B1803" t="inlineStr">
        <is>
          <t>Hca Houston Healthcare Clear Lake</t>
        </is>
      </c>
      <c r="C1803" t="inlineStr">
        <is>
          <t>TX</t>
        </is>
      </c>
      <c r="D1803" t="inlineStr">
        <is>
          <t>Metropolitan</t>
        </is>
      </c>
      <c r="E1803" s="5" t="n">
        <v>2885</v>
      </c>
      <c r="F1803" s="4" t="n">
        <v>0.5882149046793761</v>
      </c>
      <c r="G1803" s="4" t="n">
        <v>0.5412711625236607</v>
      </c>
      <c r="H1803" s="3" t="n">
        <v>47454128.11821886</v>
      </c>
      <c r="I1803" s="3" t="n">
        <v>-1154856.389829382</v>
      </c>
      <c r="J1803" s="4" t="n">
        <v>-0.0243362682157467</v>
      </c>
      <c r="K1803">
        <f>IF(AND(I1803&gt;0,J1803&gt;=Assumptions!$B$4),1,0)</f>
        <v/>
      </c>
      <c r="L1803" s="3">
        <f>I1803*K1803</f>
        <v/>
      </c>
      <c r="M1803">
        <f>SUM($K$2:K1803)</f>
        <v/>
      </c>
    </row>
    <row r="1804">
      <c r="A1804" t="inlineStr">
        <is>
          <t>450237</t>
        </is>
      </c>
      <c r="B1804" t="inlineStr">
        <is>
          <t>Christus Santa Rosa Medical Center</t>
        </is>
      </c>
      <c r="C1804" t="inlineStr">
        <is>
          <t>TX</t>
        </is>
      </c>
      <c r="D1804" t="inlineStr">
        <is>
          <t>Metropolitan</t>
        </is>
      </c>
      <c r="E1804" s="5" t="n">
        <v>3900</v>
      </c>
      <c r="F1804" s="4" t="n">
        <v>0.6097435897435898</v>
      </c>
      <c r="G1804" s="4" t="n">
        <v>0.5693168302146299</v>
      </c>
      <c r="H1804" s="3" t="n">
        <v>61669093.43371992</v>
      </c>
      <c r="I1804" s="3" t="n">
        <v>-1157466.975509234</v>
      </c>
      <c r="J1804" s="4" t="n">
        <v>-0.0187689961220727</v>
      </c>
      <c r="K1804">
        <f>IF(AND(I1804&gt;0,J1804&gt;=Assumptions!$B$4),1,0)</f>
        <v/>
      </c>
      <c r="L1804" s="3">
        <f>I1804*K1804</f>
        <v/>
      </c>
      <c r="M1804">
        <f>SUM($K$2:K1804)</f>
        <v/>
      </c>
    </row>
    <row r="1805">
      <c r="A1805" t="inlineStr">
        <is>
          <t>070010</t>
        </is>
      </c>
      <c r="B1805" t="inlineStr">
        <is>
          <t>Bridgeport Hospital</t>
        </is>
      </c>
      <c r="C1805" t="inlineStr">
        <is>
          <t>CT</t>
        </is>
      </c>
      <c r="D1805" t="inlineStr">
        <is>
          <t>Metropolitan</t>
        </is>
      </c>
      <c r="E1805" s="5" t="n">
        <v>3411</v>
      </c>
      <c r="F1805" s="4" t="n">
        <v>0.6423336265024919</v>
      </c>
      <c r="G1805" s="4" t="n">
        <v>0.5971133541035454</v>
      </c>
      <c r="H1805" s="3" t="n">
        <v>50438323.53587762</v>
      </c>
      <c r="I1805" s="3" t="n">
        <v>-1158348.052529469</v>
      </c>
      <c r="J1805" s="4" t="n">
        <v>-0.0229656334970276</v>
      </c>
      <c r="K1805">
        <f>IF(AND(I1805&gt;0,J1805&gt;=Assumptions!$B$4),1,0)</f>
        <v/>
      </c>
      <c r="L1805" s="3">
        <f>I1805*K1805</f>
        <v/>
      </c>
      <c r="M1805">
        <f>SUM($K$2:K1805)</f>
        <v/>
      </c>
    </row>
    <row r="1806">
      <c r="A1806" t="inlineStr">
        <is>
          <t>060100</t>
        </is>
      </c>
      <c r="B1806" t="inlineStr">
        <is>
          <t>Medical Center Of Aurora, The</t>
        </is>
      </c>
      <c r="C1806" t="inlineStr">
        <is>
          <t>CO</t>
        </is>
      </c>
      <c r="D1806" t="inlineStr">
        <is>
          <t>Metropolitan</t>
        </is>
      </c>
      <c r="E1806" s="5" t="n">
        <v>1451</v>
      </c>
      <c r="F1806" s="4" t="n">
        <v>0.6519641626464507</v>
      </c>
      <c r="G1806" s="4" t="n">
        <v>0.585944381863344</v>
      </c>
      <c r="H1806" s="3" t="n">
        <v>25775125.43790732</v>
      </c>
      <c r="I1806" s="3" t="n">
        <v>-1163502.431162838</v>
      </c>
      <c r="J1806" s="4" t="n">
        <v>-0.045140514794612</v>
      </c>
      <c r="K1806">
        <f>IF(AND(I1806&gt;0,J1806&gt;=Assumptions!$B$4),1,0)</f>
        <v/>
      </c>
      <c r="L1806" s="3">
        <f>I1806*K1806</f>
        <v/>
      </c>
      <c r="M1806">
        <f>SUM($K$2:K1806)</f>
        <v/>
      </c>
    </row>
    <row r="1807">
      <c r="A1807" t="inlineStr">
        <is>
          <t>240001</t>
        </is>
      </c>
      <c r="B1807" t="inlineStr">
        <is>
          <t>North Memorial Health</t>
        </is>
      </c>
      <c r="C1807" t="inlineStr">
        <is>
          <t>MN</t>
        </is>
      </c>
      <c r="D1807" t="inlineStr">
        <is>
          <t>Metropolitan</t>
        </is>
      </c>
      <c r="E1807" s="5" t="n">
        <v>2307</v>
      </c>
      <c r="F1807" s="4" t="n">
        <v>0.58864325964456</v>
      </c>
      <c r="G1807" s="4" t="n">
        <v>0.5440171670964824</v>
      </c>
      <c r="H1807" s="3" t="n">
        <v>39092865.97791342</v>
      </c>
      <c r="I1807" s="3" t="n">
        <v>-1163872.217935823</v>
      </c>
      <c r="J1807" s="4" t="n">
        <v>-0.0297719849599511</v>
      </c>
      <c r="K1807">
        <f>IF(AND(I1807&gt;0,J1807&gt;=Assumptions!$B$4),1,0)</f>
        <v/>
      </c>
      <c r="L1807" s="3">
        <f>I1807*K1807</f>
        <v/>
      </c>
      <c r="M1807">
        <f>SUM($K$2:K1807)</f>
        <v/>
      </c>
    </row>
    <row r="1808">
      <c r="A1808" t="inlineStr">
        <is>
          <t>040036</t>
        </is>
      </c>
      <c r="B1808" t="inlineStr">
        <is>
          <t>Baptist Health Medical Center North Little Rock</t>
        </is>
      </c>
      <c r="C1808" t="inlineStr">
        <is>
          <t>AR</t>
        </is>
      </c>
      <c r="D1808" t="inlineStr">
        <is>
          <t>Metropolitan</t>
        </is>
      </c>
      <c r="E1808" s="5" t="n">
        <v>2684</v>
      </c>
      <c r="F1808" s="4" t="n">
        <v>0.6315201192250373</v>
      </c>
      <c r="G1808" s="4" t="n">
        <v>0.5997534903733528</v>
      </c>
      <c r="H1808" s="3" t="n">
        <v>39728318.20136847</v>
      </c>
      <c r="I1808" s="3" t="n">
        <v>-1164663.44982972</v>
      </c>
      <c r="J1808" s="4" t="n">
        <v>-0.0293156997969675</v>
      </c>
      <c r="K1808">
        <f>IF(AND(I1808&gt;0,J1808&gt;=Assumptions!$B$4),1,0)</f>
        <v/>
      </c>
      <c r="L1808" s="3">
        <f>I1808*K1808</f>
        <v/>
      </c>
      <c r="M1808">
        <f>SUM($K$2:K1808)</f>
        <v/>
      </c>
    </row>
    <row r="1809">
      <c r="A1809" t="inlineStr">
        <is>
          <t>010016</t>
        </is>
      </c>
      <c r="B1809" t="inlineStr">
        <is>
          <t>Shelby Baptist Medical Center</t>
        </is>
      </c>
      <c r="C1809" t="inlineStr">
        <is>
          <t>AL</t>
        </is>
      </c>
      <c r="D1809" t="inlineStr">
        <is>
          <t>Metropolitan</t>
        </is>
      </c>
      <c r="E1809" s="5" t="n">
        <v>757</v>
      </c>
      <c r="F1809" s="4" t="n">
        <v>0.8309114927344782</v>
      </c>
      <c r="G1809" s="4" t="n">
        <v>0.6567943014180951</v>
      </c>
      <c r="H1809" s="3" t="n">
        <v>13995806.55404908</v>
      </c>
      <c r="I1809" s="3" t="n">
        <v>-1164760.292369248</v>
      </c>
      <c r="J1809" s="4" t="n">
        <v>-0.08322209140796349</v>
      </c>
      <c r="K1809">
        <f>IF(AND(I1809&gt;0,J1809&gt;=Assumptions!$B$4),1,0)</f>
        <v/>
      </c>
      <c r="L1809" s="3">
        <f>I1809*K1809</f>
        <v/>
      </c>
      <c r="M1809">
        <f>SUM($K$2:K1809)</f>
        <v/>
      </c>
    </row>
    <row r="1810">
      <c r="A1810" t="inlineStr">
        <is>
          <t>100057</t>
        </is>
      </c>
      <c r="B1810" t="inlineStr">
        <is>
          <t>Adventhealth Waterman</t>
        </is>
      </c>
      <c r="C1810" t="inlineStr">
        <is>
          <t>FL</t>
        </is>
      </c>
      <c r="D1810" t="inlineStr">
        <is>
          <t>Metropolitan</t>
        </is>
      </c>
      <c r="E1810" s="5" t="n">
        <v>4060</v>
      </c>
      <c r="F1810" s="4" t="n">
        <v>0.6125615763546798</v>
      </c>
      <c r="G1810" s="4" t="n">
        <v>0.5820070924371415</v>
      </c>
      <c r="H1810" s="3" t="n">
        <v>61854000.70766971</v>
      </c>
      <c r="I1810" s="3" t="n">
        <v>-1176833.394578651</v>
      </c>
      <c r="J1810" s="4" t="n">
        <v>-0.0190259866963258</v>
      </c>
      <c r="K1810">
        <f>IF(AND(I1810&gt;0,J1810&gt;=Assumptions!$B$4),1,0)</f>
        <v/>
      </c>
      <c r="L1810" s="3">
        <f>I1810*K1810</f>
        <v/>
      </c>
      <c r="M1810">
        <f>SUM($K$2:K1810)</f>
        <v/>
      </c>
    </row>
    <row r="1811">
      <c r="A1811" t="inlineStr">
        <is>
          <t>160083</t>
        </is>
      </c>
      <c r="B1811" t="inlineStr">
        <is>
          <t>Mercyone Des Moines Medical Center</t>
        </is>
      </c>
      <c r="C1811" t="inlineStr">
        <is>
          <t>IA</t>
        </is>
      </c>
      <c r="D1811" t="inlineStr">
        <is>
          <t>Metropolitan</t>
        </is>
      </c>
      <c r="E1811" s="5" t="n">
        <v>4229</v>
      </c>
      <c r="F1811" s="4" t="n">
        <v>0.5419720974225585</v>
      </c>
      <c r="G1811" s="4" t="n">
        <v>0.5091660624007934</v>
      </c>
      <c r="H1811" s="3" t="n">
        <v>83473845.16942187</v>
      </c>
      <c r="I1811" s="3" t="n">
        <v>-1180926.525555253</v>
      </c>
      <c r="J1811" s="4" t="n">
        <v>-0.0141472640101626</v>
      </c>
      <c r="K1811">
        <f>IF(AND(I1811&gt;0,J1811&gt;=Assumptions!$B$4),1,0)</f>
        <v/>
      </c>
      <c r="L1811" s="3">
        <f>I1811*K1811</f>
        <v/>
      </c>
      <c r="M1811">
        <f>SUM($K$2:K1811)</f>
        <v/>
      </c>
    </row>
    <row r="1812">
      <c r="A1812" t="inlineStr">
        <is>
          <t>170146</t>
        </is>
      </c>
      <c r="B1812" t="inlineStr">
        <is>
          <t>Providence Medical Center</t>
        </is>
      </c>
      <c r="C1812" t="inlineStr">
        <is>
          <t>KS</t>
        </is>
      </c>
      <c r="D1812" t="inlineStr">
        <is>
          <t>Metropolitan</t>
        </is>
      </c>
      <c r="E1812" s="5" t="n">
        <v>741</v>
      </c>
      <c r="F1812" s="4" t="n">
        <v>0.9082321187584346</v>
      </c>
      <c r="G1812" s="4" t="n">
        <v>0.6936197363493439</v>
      </c>
      <c r="H1812" s="3" t="n">
        <v>10948230.7499395</v>
      </c>
      <c r="I1812" s="3" t="n">
        <v>-1187008.160177061</v>
      </c>
      <c r="J1812" s="4" t="n">
        <v>-0.1084200897193933</v>
      </c>
      <c r="K1812">
        <f>IF(AND(I1812&gt;0,J1812&gt;=Assumptions!$B$4),1,0)</f>
        <v/>
      </c>
      <c r="L1812" s="3">
        <f>I1812*K1812</f>
        <v/>
      </c>
      <c r="M1812">
        <f>SUM($K$2:K1812)</f>
        <v/>
      </c>
    </row>
    <row r="1813">
      <c r="A1813" t="inlineStr">
        <is>
          <t>490024</t>
        </is>
      </c>
      <c r="B1813" t="inlineStr">
        <is>
          <t>Carilion Roanoke Memorial Hospital</t>
        </is>
      </c>
      <c r="C1813" t="inlineStr">
        <is>
          <t>VA</t>
        </is>
      </c>
      <c r="D1813" t="inlineStr">
        <is>
          <t>Metropolitan</t>
        </is>
      </c>
      <c r="E1813" s="5" t="n">
        <v>5938</v>
      </c>
      <c r="F1813" s="4" t="n">
        <v>0.5247558100370495</v>
      </c>
      <c r="G1813" s="4" t="n">
        <v>0.5181073470583929</v>
      </c>
      <c r="H1813" s="3" t="n">
        <v>116724880.2346831</v>
      </c>
      <c r="I1813" s="3" t="n">
        <v>-1191403.913818747</v>
      </c>
      <c r="J1813" s="4" t="n">
        <v>-0.0102069405547759</v>
      </c>
      <c r="K1813">
        <f>IF(AND(I1813&gt;0,J1813&gt;=Assumptions!$B$4),1,0)</f>
        <v/>
      </c>
      <c r="L1813" s="3">
        <f>I1813*K1813</f>
        <v/>
      </c>
      <c r="M1813">
        <f>SUM($K$2:K1813)</f>
        <v/>
      </c>
    </row>
    <row r="1814">
      <c r="A1814" t="inlineStr">
        <is>
          <t>050022</t>
        </is>
      </c>
      <c r="B1814" t="inlineStr">
        <is>
          <t>Riverside Community Hospital</t>
        </is>
      </c>
      <c r="C1814" t="inlineStr">
        <is>
          <t>CA</t>
        </is>
      </c>
      <c r="D1814" t="inlineStr">
        <is>
          <t>Metropolitan</t>
        </is>
      </c>
      <c r="E1814" s="5" t="n">
        <v>2302</v>
      </c>
      <c r="F1814" s="4" t="n">
        <v>0.6754995655951347</v>
      </c>
      <c r="G1814" s="4" t="n">
        <v>0.6238120051528941</v>
      </c>
      <c r="H1814" s="3" t="n">
        <v>37935173.39550791</v>
      </c>
      <c r="I1814" s="3" t="n">
        <v>-1194892.463687599</v>
      </c>
      <c r="J1814" s="4" t="n">
        <v>-0.0314982734158028</v>
      </c>
      <c r="K1814">
        <f>IF(AND(I1814&gt;0,J1814&gt;=Assumptions!$B$4),1,0)</f>
        <v/>
      </c>
      <c r="L1814" s="3">
        <f>I1814*K1814</f>
        <v/>
      </c>
      <c r="M1814">
        <f>SUM($K$2:K1814)</f>
        <v/>
      </c>
    </row>
    <row r="1815">
      <c r="A1815" t="inlineStr">
        <is>
          <t>140233</t>
        </is>
      </c>
      <c r="B1815" t="inlineStr">
        <is>
          <t>Saint Anthony Medical Center</t>
        </is>
      </c>
      <c r="C1815" t="inlineStr">
        <is>
          <t>IL</t>
        </is>
      </c>
      <c r="D1815" t="inlineStr">
        <is>
          <t>Metropolitan</t>
        </is>
      </c>
      <c r="E1815" s="5" t="n">
        <v>2495</v>
      </c>
      <c r="F1815" s="4" t="n">
        <v>0.6412825651302605</v>
      </c>
      <c r="G1815" s="4" t="n">
        <v>0.5935855265418304</v>
      </c>
      <c r="H1815" s="3" t="n">
        <v>41342289.61377149</v>
      </c>
      <c r="I1815" s="3" t="n">
        <v>-1201609.973627903</v>
      </c>
      <c r="J1815" s="4" t="n">
        <v>-0.0290649111322473</v>
      </c>
      <c r="K1815">
        <f>IF(AND(I1815&gt;0,J1815&gt;=Assumptions!$B$4),1,0)</f>
        <v/>
      </c>
      <c r="L1815" s="3">
        <f>I1815*K1815</f>
        <v/>
      </c>
      <c r="M1815">
        <f>SUM($K$2:K1815)</f>
        <v/>
      </c>
    </row>
    <row r="1816">
      <c r="A1816" t="inlineStr">
        <is>
          <t>370013</t>
        </is>
      </c>
      <c r="B1816" t="inlineStr">
        <is>
          <t>Mercy Hospital Oklahoma City, Inc</t>
        </is>
      </c>
      <c r="C1816" t="inlineStr">
        <is>
          <t>OK</t>
        </is>
      </c>
      <c r="D1816" t="inlineStr">
        <is>
          <t>Metropolitan</t>
        </is>
      </c>
      <c r="E1816" s="5" t="n">
        <v>4061</v>
      </c>
      <c r="F1816" s="4" t="n">
        <v>0.5887712386111795</v>
      </c>
      <c r="G1816" s="4" t="n">
        <v>0.5592976234070732</v>
      </c>
      <c r="H1816" s="3" t="n">
        <v>67156370.66920133</v>
      </c>
      <c r="I1816" s="3" t="n">
        <v>-1210378.652807355</v>
      </c>
      <c r="J1816" s="4" t="n">
        <v>-0.0180232886432984</v>
      </c>
      <c r="K1816">
        <f>IF(AND(I1816&gt;0,J1816&gt;=Assumptions!$B$4),1,0)</f>
        <v/>
      </c>
      <c r="L1816" s="3">
        <f>I1816*K1816</f>
        <v/>
      </c>
      <c r="M1816">
        <f>SUM($K$2:K1816)</f>
        <v/>
      </c>
    </row>
    <row r="1817">
      <c r="A1817" t="inlineStr">
        <is>
          <t>060015</t>
        </is>
      </c>
      <c r="B1817" t="inlineStr">
        <is>
          <t>St Anthony Hospital</t>
        </is>
      </c>
      <c r="C1817" t="inlineStr">
        <is>
          <t>CO</t>
        </is>
      </c>
      <c r="D1817" t="inlineStr">
        <is>
          <t>Metropolitan</t>
        </is>
      </c>
      <c r="E1817" s="5" t="n">
        <v>1827</v>
      </c>
      <c r="F1817" s="4" t="n">
        <v>0.5790914066776136</v>
      </c>
      <c r="G1817" s="4" t="n">
        <v>0.5593876093950281</v>
      </c>
      <c r="H1817" s="3" t="n">
        <v>34682259.21053149</v>
      </c>
      <c r="I1817" s="3" t="n">
        <v>-1219894.16376017</v>
      </c>
      <c r="J1817" s="4" t="n">
        <v>-0.0351734342435726</v>
      </c>
      <c r="K1817">
        <f>IF(AND(I1817&gt;0,J1817&gt;=Assumptions!$B$4),1,0)</f>
        <v/>
      </c>
      <c r="L1817" s="3">
        <f>I1817*K1817</f>
        <v/>
      </c>
      <c r="M1817">
        <f>SUM($K$2:K1817)</f>
        <v/>
      </c>
    </row>
    <row r="1818">
      <c r="A1818" t="inlineStr">
        <is>
          <t>310052</t>
        </is>
      </c>
      <c r="B1818" t="inlineStr">
        <is>
          <t>Ocean University Medical Center</t>
        </is>
      </c>
      <c r="C1818" t="inlineStr">
        <is>
          <t>NJ</t>
        </is>
      </c>
      <c r="D1818" t="inlineStr">
        <is>
          <t>Metropolitan</t>
        </is>
      </c>
      <c r="E1818" s="5" t="n">
        <v>5241</v>
      </c>
      <c r="F1818" s="4" t="n">
        <v>0.6082808624308338</v>
      </c>
      <c r="G1818" s="4" t="n">
        <v>0.5860517592520076</v>
      </c>
      <c r="H1818" s="3" t="n">
        <v>74577814.01076083</v>
      </c>
      <c r="I1818" s="3" t="n">
        <v>-1230596.375847504</v>
      </c>
      <c r="J1818" s="4" t="n">
        <v>-0.016500837308934</v>
      </c>
      <c r="K1818">
        <f>IF(AND(I1818&gt;0,J1818&gt;=Assumptions!$B$4),1,0)</f>
        <v/>
      </c>
      <c r="L1818" s="3">
        <f>I1818*K1818</f>
        <v/>
      </c>
      <c r="M1818">
        <f>SUM($K$2:K1818)</f>
        <v/>
      </c>
    </row>
    <row r="1819">
      <c r="A1819" t="inlineStr">
        <is>
          <t>450424</t>
        </is>
      </c>
      <c r="B1819" t="inlineStr">
        <is>
          <t>Houston Methodist Baytown Hospital</t>
        </is>
      </c>
      <c r="C1819" t="inlineStr">
        <is>
          <t>TX</t>
        </is>
      </c>
      <c r="D1819" t="inlineStr">
        <is>
          <t>Metropolitan</t>
        </is>
      </c>
      <c r="E1819" s="5" t="n">
        <v>1654</v>
      </c>
      <c r="F1819" s="4" t="n">
        <v>0.7339782345828295</v>
      </c>
      <c r="G1819" s="4" t="n">
        <v>0.6439648473552659</v>
      </c>
      <c r="H1819" s="3" t="n">
        <v>24916754.14657019</v>
      </c>
      <c r="I1819" s="3" t="n">
        <v>-1236793.710010398</v>
      </c>
      <c r="J1819" s="4" t="n">
        <v>-0.0496370314823146</v>
      </c>
      <c r="K1819">
        <f>IF(AND(I1819&gt;0,J1819&gt;=Assumptions!$B$4),1,0)</f>
        <v/>
      </c>
      <c r="L1819" s="3">
        <f>I1819*K1819</f>
        <v/>
      </c>
      <c r="M1819">
        <f>SUM($K$2:K1819)</f>
        <v/>
      </c>
    </row>
    <row r="1820">
      <c r="A1820" t="inlineStr">
        <is>
          <t>430077</t>
        </is>
      </c>
      <c r="B1820" t="inlineStr">
        <is>
          <t>Monument Health Rapid City Hospital</t>
        </is>
      </c>
      <c r="C1820" t="inlineStr">
        <is>
          <t>SD</t>
        </is>
      </c>
      <c r="D1820" t="inlineStr">
        <is>
          <t>Metropolitan</t>
        </is>
      </c>
      <c r="E1820" s="5" t="n">
        <v>3637</v>
      </c>
      <c r="F1820" s="4" t="n">
        <v>0.5982952983227935</v>
      </c>
      <c r="G1820" s="4" t="n">
        <v>0.5516422198271314</v>
      </c>
      <c r="H1820" s="3" t="n">
        <v>66123141.22523233</v>
      </c>
      <c r="I1820" s="3" t="n">
        <v>-1238260.325120859</v>
      </c>
      <c r="J1820" s="4" t="n">
        <v>-0.0187265804705651</v>
      </c>
      <c r="K1820">
        <f>IF(AND(I1820&gt;0,J1820&gt;=Assumptions!$B$4),1,0)</f>
        <v/>
      </c>
      <c r="L1820" s="3">
        <f>I1820*K1820</f>
        <v/>
      </c>
      <c r="M1820">
        <f>SUM($K$2:K1820)</f>
        <v/>
      </c>
    </row>
    <row r="1821">
      <c r="A1821" t="inlineStr">
        <is>
          <t>380009</t>
        </is>
      </c>
      <c r="B1821" t="inlineStr">
        <is>
          <t>Ohsu Hospital And Clinics</t>
        </is>
      </c>
      <c r="C1821" t="inlineStr">
        <is>
          <t>OR</t>
        </is>
      </c>
      <c r="D1821" t="inlineStr">
        <is>
          <t>Metropolitan</t>
        </is>
      </c>
      <c r="E1821" s="5" t="n">
        <v>2697</v>
      </c>
      <c r="F1821" s="4" t="n">
        <v>0.5220615498702261</v>
      </c>
      <c r="G1821" s="4" t="n">
        <v>0.5074377488613113</v>
      </c>
      <c r="H1821" s="3" t="n">
        <v>66411071.34087463</v>
      </c>
      <c r="I1821" s="3" t="n">
        <v>-1243177.014314145</v>
      </c>
      <c r="J1821" s="4" t="n">
        <v>-0.01871942417452</v>
      </c>
      <c r="K1821">
        <f>IF(AND(I1821&gt;0,J1821&gt;=Assumptions!$B$4),1,0)</f>
        <v/>
      </c>
      <c r="L1821" s="3">
        <f>I1821*K1821</f>
        <v/>
      </c>
      <c r="M1821">
        <f>SUM($K$2:K1821)</f>
        <v/>
      </c>
    </row>
    <row r="1822">
      <c r="A1822" t="inlineStr">
        <is>
          <t>050780</t>
        </is>
      </c>
      <c r="B1822" t="inlineStr">
        <is>
          <t>Foothill Regional Medical Center</t>
        </is>
      </c>
      <c r="C1822" t="inlineStr">
        <is>
          <t>CA</t>
        </is>
      </c>
      <c r="D1822" t="inlineStr">
        <is>
          <t>Metropolitan</t>
        </is>
      </c>
      <c r="E1822" s="5" t="n">
        <v>707</v>
      </c>
      <c r="F1822" s="4" t="n">
        <v>0.9448373408769448</v>
      </c>
      <c r="G1822" s="4" t="n">
        <v>0.6635515572375714</v>
      </c>
      <c r="H1822" s="3" t="n">
        <v>10246207.94455204</v>
      </c>
      <c r="I1822" s="3" t="n">
        <v>-1252655.015349712</v>
      </c>
      <c r="J1822" s="4" t="n">
        <v>-0.1222554746232487</v>
      </c>
      <c r="K1822">
        <f>IF(AND(I1822&gt;0,J1822&gt;=Assumptions!$B$4),1,0)</f>
        <v/>
      </c>
      <c r="L1822" s="3">
        <f>I1822*K1822</f>
        <v/>
      </c>
      <c r="M1822">
        <f>SUM($K$2:K1822)</f>
        <v/>
      </c>
    </row>
    <row r="1823">
      <c r="A1823" t="inlineStr">
        <is>
          <t>110143</t>
        </is>
      </c>
      <c r="B1823" t="inlineStr">
        <is>
          <t>Wellstar Cobb Medical Center</t>
        </is>
      </c>
      <c r="C1823" t="inlineStr">
        <is>
          <t>GA</t>
        </is>
      </c>
      <c r="D1823" t="inlineStr">
        <is>
          <t>Metropolitan</t>
        </is>
      </c>
      <c r="E1823" s="5" t="n">
        <v>1720</v>
      </c>
      <c r="F1823" s="4" t="n">
        <v>0.7162790697674418</v>
      </c>
      <c r="G1823" s="4" t="n">
        <v>0.6302936059178108</v>
      </c>
      <c r="H1823" s="3" t="n">
        <v>26410877.68657057</v>
      </c>
      <c r="I1823" s="3" t="n">
        <v>-1257634.851235423</v>
      </c>
      <c r="J1823" s="4" t="n">
        <v>-0.047618063517628</v>
      </c>
      <c r="K1823">
        <f>IF(AND(I1823&gt;0,J1823&gt;=Assumptions!$B$4),1,0)</f>
        <v/>
      </c>
      <c r="L1823" s="3">
        <f>I1823*K1823</f>
        <v/>
      </c>
      <c r="M1823">
        <f>SUM($K$2:K1823)</f>
        <v/>
      </c>
    </row>
    <row r="1824">
      <c r="A1824" t="inlineStr">
        <is>
          <t>360039</t>
        </is>
      </c>
      <c r="B1824" t="inlineStr">
        <is>
          <t>Genesis Hospital</t>
        </is>
      </c>
      <c r="C1824" t="inlineStr">
        <is>
          <t>OH</t>
        </is>
      </c>
      <c r="D1824" t="inlineStr">
        <is>
          <t>Micropolitan</t>
        </is>
      </c>
      <c r="E1824" s="5" t="n">
        <v>2346</v>
      </c>
      <c r="F1824" s="4" t="n">
        <v>0.6317135549872123</v>
      </c>
      <c r="G1824" s="4" t="n">
        <v>0.595056233222143</v>
      </c>
      <c r="H1824" s="3" t="n">
        <v>39665718.46822849</v>
      </c>
      <c r="I1824" s="3" t="n">
        <v>-1268175.015707828</v>
      </c>
      <c r="J1824" s="4" t="n">
        <v>-0.0319715629687538</v>
      </c>
      <c r="K1824">
        <f>IF(AND(I1824&gt;0,J1824&gt;=Assumptions!$B$4),1,0)</f>
        <v/>
      </c>
      <c r="L1824" s="3">
        <f>I1824*K1824</f>
        <v/>
      </c>
      <c r="M1824">
        <f>SUM($K$2:K1824)</f>
        <v/>
      </c>
    </row>
    <row r="1825">
      <c r="A1825" t="inlineStr">
        <is>
          <t>050426</t>
        </is>
      </c>
      <c r="B1825" t="inlineStr">
        <is>
          <t>West Anaheim Medical Center</t>
        </is>
      </c>
      <c r="C1825" t="inlineStr">
        <is>
          <t>CA</t>
        </is>
      </c>
      <c r="D1825" t="inlineStr">
        <is>
          <t>Metropolitan</t>
        </is>
      </c>
      <c r="E1825" s="5" t="n">
        <v>1083</v>
      </c>
      <c r="F1825" s="4" t="n">
        <v>0.8827331486611265</v>
      </c>
      <c r="G1825" s="4" t="n">
        <v>0.7276955271716501</v>
      </c>
      <c r="H1825" s="3" t="n">
        <v>16534169.30532225</v>
      </c>
      <c r="I1825" s="3" t="n">
        <v>-1272911.096042404</v>
      </c>
      <c r="J1825" s="4" t="n">
        <v>-0.07698669782174419</v>
      </c>
      <c r="K1825">
        <f>IF(AND(I1825&gt;0,J1825&gt;=Assumptions!$B$4),1,0)</f>
        <v/>
      </c>
      <c r="L1825" s="3">
        <f>I1825*K1825</f>
        <v/>
      </c>
      <c r="M1825">
        <f>SUM($K$2:K1825)</f>
        <v/>
      </c>
    </row>
    <row r="1826">
      <c r="A1826" t="inlineStr">
        <is>
          <t>230097</t>
        </is>
      </c>
      <c r="B1826" t="inlineStr">
        <is>
          <t>Munson Medical Center</t>
        </is>
      </c>
      <c r="C1826" t="inlineStr">
        <is>
          <t>MI</t>
        </is>
      </c>
      <c r="D1826" t="inlineStr">
        <is>
          <t>Micropolitan</t>
        </is>
      </c>
      <c r="E1826" s="5" t="n">
        <v>3228</v>
      </c>
      <c r="F1826" s="4" t="n">
        <v>0.5099132589838909</v>
      </c>
      <c r="G1826" s="4" t="n">
        <v>0.5087478169504122</v>
      </c>
      <c r="H1826" s="3" t="n">
        <v>56887777.56763227</v>
      </c>
      <c r="I1826" s="3" t="n">
        <v>-1274140.990778476</v>
      </c>
      <c r="J1826" s="4" t="n">
        <v>-0.0223974471364026</v>
      </c>
      <c r="K1826">
        <f>IF(AND(I1826&gt;0,J1826&gt;=Assumptions!$B$4),1,0)</f>
        <v/>
      </c>
      <c r="L1826" s="3">
        <f>I1826*K1826</f>
        <v/>
      </c>
      <c r="M1826">
        <f>SUM($K$2:K1826)</f>
        <v/>
      </c>
    </row>
    <row r="1827">
      <c r="A1827" t="inlineStr">
        <is>
          <t>140048</t>
        </is>
      </c>
      <c r="B1827" t="inlineStr">
        <is>
          <t>Advocate Trinity Hospital</t>
        </is>
      </c>
      <c r="C1827" t="inlineStr">
        <is>
          <t>IL</t>
        </is>
      </c>
      <c r="D1827" t="inlineStr">
        <is>
          <t>Metropolitan</t>
        </is>
      </c>
      <c r="E1827" s="5" t="n">
        <v>2089</v>
      </c>
      <c r="F1827" s="4" t="n">
        <v>0.7118238391574916</v>
      </c>
      <c r="G1827" s="4" t="n">
        <v>0.6466544740729436</v>
      </c>
      <c r="H1827" s="3" t="n">
        <v>30029697.29712089</v>
      </c>
      <c r="I1827" s="3" t="n">
        <v>-1276207.657602627</v>
      </c>
      <c r="J1827" s="4" t="n">
        <v>-0.0424981858783166</v>
      </c>
      <c r="K1827">
        <f>IF(AND(I1827&gt;0,J1827&gt;=Assumptions!$B$4),1,0)</f>
        <v/>
      </c>
      <c r="L1827" s="3">
        <f>I1827*K1827</f>
        <v/>
      </c>
      <c r="M1827">
        <f>SUM($K$2:K1827)</f>
        <v/>
      </c>
    </row>
    <row r="1828">
      <c r="A1828" t="inlineStr">
        <is>
          <t>370114</t>
        </is>
      </c>
      <c r="B1828" t="inlineStr">
        <is>
          <t>Ascension St John Medical Center</t>
        </is>
      </c>
      <c r="C1828" t="inlineStr">
        <is>
          <t>OK</t>
        </is>
      </c>
      <c r="D1828" t="inlineStr">
        <is>
          <t>Metropolitan</t>
        </is>
      </c>
      <c r="E1828" s="5" t="n">
        <v>3998</v>
      </c>
      <c r="F1828" s="4" t="n">
        <v>0.6083041520760381</v>
      </c>
      <c r="G1828" s="4" t="n">
        <v>0.5620930010525856</v>
      </c>
      <c r="H1828" s="3" t="n">
        <v>71838129.28404942</v>
      </c>
      <c r="I1828" s="3" t="n">
        <v>-1277399.907621577</v>
      </c>
      <c r="J1828" s="4" t="n">
        <v>-0.017781642149543</v>
      </c>
      <c r="K1828">
        <f>IF(AND(I1828&gt;0,J1828&gt;=Assumptions!$B$4),1,0)</f>
        <v/>
      </c>
      <c r="L1828" s="3">
        <f>I1828*K1828</f>
        <v/>
      </c>
      <c r="M1828">
        <f>SUM($K$2:K1828)</f>
        <v/>
      </c>
    </row>
    <row r="1829">
      <c r="A1829" t="inlineStr">
        <is>
          <t>050481</t>
        </is>
      </c>
      <c r="B1829" t="inlineStr">
        <is>
          <t>West Hills Hospital &amp; Medical Center</t>
        </is>
      </c>
      <c r="C1829" t="inlineStr">
        <is>
          <t>CA</t>
        </is>
      </c>
      <c r="D1829" t="inlineStr">
        <is>
          <t>Metropolitan</t>
        </is>
      </c>
      <c r="E1829" s="5" t="n">
        <v>1833</v>
      </c>
      <c r="F1829" s="4" t="n">
        <v>0.6993998908892526</v>
      </c>
      <c r="G1829" s="4" t="n">
        <v>0.6049884858530606</v>
      </c>
      <c r="H1829" s="3" t="n">
        <v>27079711.57092177</v>
      </c>
      <c r="I1829" s="3" t="n">
        <v>-1278041.15855252</v>
      </c>
      <c r="J1829" s="4" t="n">
        <v>-0.0471955233055318</v>
      </c>
      <c r="K1829">
        <f>IF(AND(I1829&gt;0,J1829&gt;=Assumptions!$B$4),1,0)</f>
        <v/>
      </c>
      <c r="L1829" s="3">
        <f>I1829*K1829</f>
        <v/>
      </c>
      <c r="M1829">
        <f>SUM($K$2:K1829)</f>
        <v/>
      </c>
    </row>
    <row r="1830">
      <c r="A1830" t="inlineStr">
        <is>
          <t>060027</t>
        </is>
      </c>
      <c r="B1830" t="inlineStr">
        <is>
          <t>Foothills Hospital</t>
        </is>
      </c>
      <c r="C1830" t="inlineStr">
        <is>
          <t>CO</t>
        </is>
      </c>
      <c r="D1830" t="inlineStr">
        <is>
          <t>Metropolitan</t>
        </is>
      </c>
      <c r="E1830" s="5" t="n">
        <v>1307</v>
      </c>
      <c r="F1830" s="4" t="n">
        <v>0.558530986993114</v>
      </c>
      <c r="G1830" s="4" t="n">
        <v>0.5186577146385917</v>
      </c>
      <c r="H1830" s="3" t="n">
        <v>21970831.44652392</v>
      </c>
      <c r="I1830" s="3" t="n">
        <v>-1286927.087717261</v>
      </c>
      <c r="J1830" s="4" t="n">
        <v>-0.0585743462121398</v>
      </c>
      <c r="K1830">
        <f>IF(AND(I1830&gt;0,J1830&gt;=Assumptions!$B$4),1,0)</f>
        <v/>
      </c>
      <c r="L1830" s="3">
        <f>I1830*K1830</f>
        <v/>
      </c>
      <c r="M1830">
        <f>SUM($K$2:K1830)</f>
        <v/>
      </c>
    </row>
    <row r="1831">
      <c r="A1831" t="inlineStr">
        <is>
          <t>230141</t>
        </is>
      </c>
      <c r="B1831" t="inlineStr">
        <is>
          <t>Mclaren Flint</t>
        </is>
      </c>
      <c r="C1831" t="inlineStr">
        <is>
          <t>MI</t>
        </is>
      </c>
      <c r="D1831" t="inlineStr">
        <is>
          <t>Metropolitan</t>
        </is>
      </c>
      <c r="E1831" s="5" t="n">
        <v>2095</v>
      </c>
      <c r="F1831" s="4" t="n">
        <v>0.6930787589498807</v>
      </c>
      <c r="G1831" s="4" t="n">
        <v>0.613250946541972</v>
      </c>
      <c r="H1831" s="3" t="n">
        <v>31911093.12328941</v>
      </c>
      <c r="I1831" s="3" t="n">
        <v>-1295089.380586978</v>
      </c>
      <c r="J1831" s="4" t="n">
        <v>-0.0405843001235765</v>
      </c>
      <c r="K1831">
        <f>IF(AND(I1831&gt;0,J1831&gt;=Assumptions!$B$4),1,0)</f>
        <v/>
      </c>
      <c r="L1831" s="3">
        <f>I1831*K1831</f>
        <v/>
      </c>
      <c r="M1831">
        <f>SUM($K$2:K1831)</f>
        <v/>
      </c>
    </row>
    <row r="1832">
      <c r="A1832" t="inlineStr">
        <is>
          <t>100179</t>
        </is>
      </c>
      <c r="B1832" t="inlineStr">
        <is>
          <t>Hca Florida Memorial Hospital</t>
        </is>
      </c>
      <c r="C1832" t="inlineStr">
        <is>
          <t>FL</t>
        </is>
      </c>
      <c r="D1832" t="inlineStr">
        <is>
          <t>Metropolitan</t>
        </is>
      </c>
      <c r="E1832" s="5" t="n">
        <v>2018</v>
      </c>
      <c r="F1832" s="4" t="n">
        <v>0.5971258671952429</v>
      </c>
      <c r="G1832" s="4" t="n">
        <v>0.540525303033898</v>
      </c>
      <c r="H1832" s="3" t="n">
        <v>35469327.66633733</v>
      </c>
      <c r="I1832" s="3" t="n">
        <v>-1300713.384768881</v>
      </c>
      <c r="J1832" s="4" t="n">
        <v>-0.0366714981745577</v>
      </c>
      <c r="K1832">
        <f>IF(AND(I1832&gt;0,J1832&gt;=Assumptions!$B$4),1,0)</f>
        <v/>
      </c>
      <c r="L1832" s="3">
        <f>I1832*K1832</f>
        <v/>
      </c>
      <c r="M1832">
        <f>SUM($K$2:K1832)</f>
        <v/>
      </c>
    </row>
    <row r="1833">
      <c r="A1833" t="inlineStr">
        <is>
          <t>310034</t>
        </is>
      </c>
      <c r="B1833" t="inlineStr">
        <is>
          <t>Riverview Medical Center</t>
        </is>
      </c>
      <c r="C1833" t="inlineStr">
        <is>
          <t>NJ</t>
        </is>
      </c>
      <c r="D1833" t="inlineStr">
        <is>
          <t>Metropolitan</t>
        </is>
      </c>
      <c r="E1833" s="5" t="n">
        <v>2803</v>
      </c>
      <c r="F1833" s="4" t="n">
        <v>0.6289689618266143</v>
      </c>
      <c r="G1833" s="4" t="n">
        <v>0.5870401107749488</v>
      </c>
      <c r="H1833" s="3" t="n">
        <v>39277034.47972342</v>
      </c>
      <c r="I1833" s="3" t="n">
        <v>-1307878.076740727</v>
      </c>
      <c r="J1833" s="4" t="n">
        <v>-0.0332987990072395</v>
      </c>
      <c r="K1833">
        <f>IF(AND(I1833&gt;0,J1833&gt;=Assumptions!$B$4),1,0)</f>
        <v/>
      </c>
      <c r="L1833" s="3">
        <f>I1833*K1833</f>
        <v/>
      </c>
      <c r="M1833">
        <f>SUM($K$2:K1833)</f>
        <v/>
      </c>
    </row>
    <row r="1834">
      <c r="A1834" t="inlineStr">
        <is>
          <t>440039</t>
        </is>
      </c>
      <c r="B1834" t="inlineStr">
        <is>
          <t>Vanderbilt University Medical Center</t>
        </is>
      </c>
      <c r="C1834" t="inlineStr">
        <is>
          <t>TN</t>
        </is>
      </c>
      <c r="D1834" t="inlineStr">
        <is>
          <t>Metropolitan</t>
        </is>
      </c>
      <c r="E1834" s="5" t="n">
        <v>7617</v>
      </c>
      <c r="F1834" s="4" t="n">
        <v>0.5071550479191282</v>
      </c>
      <c r="G1834" s="4" t="n">
        <v>0.4924850936900407</v>
      </c>
      <c r="H1834" s="3" t="n">
        <v>165108508.1509345</v>
      </c>
      <c r="I1834" s="3" t="n">
        <v>-1309211.157143921</v>
      </c>
      <c r="J1834" s="4" t="n">
        <v>-0.0079293985016635</v>
      </c>
      <c r="K1834">
        <f>IF(AND(I1834&gt;0,J1834&gt;=Assumptions!$B$4),1,0)</f>
        <v/>
      </c>
      <c r="L1834" s="3">
        <f>I1834*K1834</f>
        <v/>
      </c>
      <c r="M1834">
        <f>SUM($K$2:K1834)</f>
        <v/>
      </c>
    </row>
    <row r="1835">
      <c r="A1835" t="inlineStr">
        <is>
          <t>290039</t>
        </is>
      </c>
      <c r="B1835" t="inlineStr">
        <is>
          <t>Mountainview Hospital</t>
        </is>
      </c>
      <c r="C1835" t="inlineStr">
        <is>
          <t>NV</t>
        </is>
      </c>
      <c r="D1835" t="inlineStr">
        <is>
          <t>Metropolitan</t>
        </is>
      </c>
      <c r="E1835" s="5" t="n">
        <v>4103</v>
      </c>
      <c r="F1835" s="4" t="n">
        <v>0.6093102607847917</v>
      </c>
      <c r="G1835" s="4" t="n">
        <v>0.5839022786548266</v>
      </c>
      <c r="H1835" s="3" t="n">
        <v>69758335.50697464</v>
      </c>
      <c r="I1835" s="3" t="n">
        <v>-1317105.869118288</v>
      </c>
      <c r="J1835" s="4" t="n">
        <v>-0.0188809818861948</v>
      </c>
      <c r="K1835">
        <f>IF(AND(I1835&gt;0,J1835&gt;=Assumptions!$B$4),1,0)</f>
        <v/>
      </c>
      <c r="L1835" s="3">
        <f>I1835*K1835</f>
        <v/>
      </c>
      <c r="M1835">
        <f>SUM($K$2:K1835)</f>
        <v/>
      </c>
    </row>
    <row r="1836">
      <c r="A1836" t="inlineStr">
        <is>
          <t>360035</t>
        </is>
      </c>
      <c r="B1836" t="inlineStr">
        <is>
          <t>Mount Carmel East</t>
        </is>
      </c>
      <c r="C1836" t="inlineStr">
        <is>
          <t>OH</t>
        </is>
      </c>
      <c r="D1836" t="inlineStr">
        <is>
          <t>Metropolitan</t>
        </is>
      </c>
      <c r="E1836" s="5" t="n">
        <v>3047</v>
      </c>
      <c r="F1836" s="4" t="n">
        <v>0.6163439448638005</v>
      </c>
      <c r="G1836" s="4" t="n">
        <v>0.5694968582892017</v>
      </c>
      <c r="H1836" s="3" t="n">
        <v>51318914.16690863</v>
      </c>
      <c r="I1836" s="3" t="n">
        <v>-1328303.600213356</v>
      </c>
      <c r="J1836" s="4" t="n">
        <v>-0.0258833145980682</v>
      </c>
      <c r="K1836">
        <f>IF(AND(I1836&gt;0,J1836&gt;=Assumptions!$B$4),1,0)</f>
        <v/>
      </c>
      <c r="L1836" s="3">
        <f>I1836*K1836</f>
        <v/>
      </c>
      <c r="M1836">
        <f>SUM($K$2:K1836)</f>
        <v/>
      </c>
    </row>
    <row r="1837">
      <c r="A1837" t="inlineStr">
        <is>
          <t>230117</t>
        </is>
      </c>
      <c r="B1837" t="inlineStr">
        <is>
          <t>Ascension Borgess Hospital</t>
        </is>
      </c>
      <c r="C1837" t="inlineStr">
        <is>
          <t>MI</t>
        </is>
      </c>
      <c r="D1837" t="inlineStr">
        <is>
          <t>Metropolitan</t>
        </is>
      </c>
      <c r="E1837" s="5" t="n">
        <v>1218</v>
      </c>
      <c r="F1837" s="4" t="n">
        <v>0.6765188834154351</v>
      </c>
      <c r="G1837" s="4" t="n">
        <v>0.579850708783087</v>
      </c>
      <c r="H1837" s="3" t="n">
        <v>23240968.29017798</v>
      </c>
      <c r="I1837" s="3" t="n">
        <v>-1336140.042930286</v>
      </c>
      <c r="J1837" s="4" t="n">
        <v>-0.0574907218256892</v>
      </c>
      <c r="K1837">
        <f>IF(AND(I1837&gt;0,J1837&gt;=Assumptions!$B$4),1,0)</f>
        <v/>
      </c>
      <c r="L1837" s="3">
        <f>I1837*K1837</f>
        <v/>
      </c>
      <c r="M1837">
        <f>SUM($K$2:K1837)</f>
        <v/>
      </c>
    </row>
    <row r="1838">
      <c r="A1838" t="inlineStr">
        <is>
          <t>500044</t>
        </is>
      </c>
      <c r="B1838" t="inlineStr">
        <is>
          <t>Multicare Deaconess Hospital</t>
        </is>
      </c>
      <c r="C1838" t="inlineStr">
        <is>
          <t>WA</t>
        </is>
      </c>
      <c r="D1838" t="inlineStr">
        <is>
          <t>Metropolitan</t>
        </is>
      </c>
      <c r="E1838" s="5" t="n">
        <v>1545</v>
      </c>
      <c r="F1838" s="4" t="n">
        <v>0.5902912621359223</v>
      </c>
      <c r="G1838" s="4" t="n">
        <v>0.5014785013727424</v>
      </c>
      <c r="H1838" s="3" t="n">
        <v>31550103.46355562</v>
      </c>
      <c r="I1838" s="3" t="n">
        <v>-1336631.848382719</v>
      </c>
      <c r="J1838" s="4" t="n">
        <v>-0.0423653713188832</v>
      </c>
      <c r="K1838">
        <f>IF(AND(I1838&gt;0,J1838&gt;=Assumptions!$B$4),1,0)</f>
        <v/>
      </c>
      <c r="L1838" s="3">
        <f>I1838*K1838</f>
        <v/>
      </c>
      <c r="M1838">
        <f>SUM($K$2:K1838)</f>
        <v/>
      </c>
    </row>
    <row r="1839">
      <c r="A1839" t="inlineStr">
        <is>
          <t>520098</t>
        </is>
      </c>
      <c r="B1839" t="inlineStr">
        <is>
          <t>University Of Wi  Hospitals &amp; Clinics Authority</t>
        </is>
      </c>
      <c r="C1839" t="inlineStr">
        <is>
          <t>WI</t>
        </is>
      </c>
      <c r="D1839" t="inlineStr">
        <is>
          <t>Metropolitan</t>
        </is>
      </c>
      <c r="E1839" s="5" t="n">
        <v>6272</v>
      </c>
      <c r="F1839" s="4" t="n">
        <v>0.5449617346938775</v>
      </c>
      <c r="G1839" s="4" t="n">
        <v>0.5101380513397463</v>
      </c>
      <c r="H1839" s="3" t="n">
        <v>127315990.052359</v>
      </c>
      <c r="I1839" s="3" t="n">
        <v>-1337635.687881082</v>
      </c>
      <c r="J1839" s="4" t="n">
        <v>-0.0105064233277452</v>
      </c>
      <c r="K1839">
        <f>IF(AND(I1839&gt;0,J1839&gt;=Assumptions!$B$4),1,0)</f>
        <v/>
      </c>
      <c r="L1839" s="3">
        <f>I1839*K1839</f>
        <v/>
      </c>
      <c r="M1839">
        <f>SUM($K$2:K1839)</f>
        <v/>
      </c>
    </row>
    <row r="1840">
      <c r="A1840" t="inlineStr">
        <is>
          <t>050503</t>
        </is>
      </c>
      <c r="B1840" t="inlineStr">
        <is>
          <t>Scripps Memorial Hospital - Encinitas</t>
        </is>
      </c>
      <c r="C1840" t="inlineStr">
        <is>
          <t>CA</t>
        </is>
      </c>
      <c r="D1840" t="inlineStr">
        <is>
          <t>Metropolitan</t>
        </is>
      </c>
      <c r="E1840" s="5" t="n">
        <v>2943</v>
      </c>
      <c r="F1840" s="4" t="n">
        <v>0.6255521576622494</v>
      </c>
      <c r="G1840" s="4" t="n">
        <v>0.5993160734457529</v>
      </c>
      <c r="H1840" s="3" t="n">
        <v>44283409.23005299</v>
      </c>
      <c r="I1840" s="3" t="n">
        <v>-1337782.801967107</v>
      </c>
      <c r="J1840" s="4" t="n">
        <v>-0.0302095711515187</v>
      </c>
      <c r="K1840">
        <f>IF(AND(I1840&gt;0,J1840&gt;=Assumptions!$B$4),1,0)</f>
        <v/>
      </c>
      <c r="L1840" s="3">
        <f>I1840*K1840</f>
        <v/>
      </c>
      <c r="M1840">
        <f>SUM($K$2:K1840)</f>
        <v/>
      </c>
    </row>
    <row r="1841">
      <c r="A1841" t="inlineStr">
        <is>
          <t>050132</t>
        </is>
      </c>
      <c r="B1841" t="inlineStr">
        <is>
          <t>San Gabriel Valley Medical Center</t>
        </is>
      </c>
      <c r="C1841" t="inlineStr">
        <is>
          <t>CA</t>
        </is>
      </c>
      <c r="D1841" t="inlineStr">
        <is>
          <t>Metropolitan</t>
        </is>
      </c>
      <c r="E1841" s="5" t="n">
        <v>1102</v>
      </c>
      <c r="F1841" s="4" t="n">
        <v>0.8711433756805808</v>
      </c>
      <c r="G1841" s="4" t="n">
        <v>0.6977986634697182</v>
      </c>
      <c r="H1841" s="3" t="n">
        <v>16438719.30626365</v>
      </c>
      <c r="I1841" s="3" t="n">
        <v>-1343567.743325686</v>
      </c>
      <c r="J1841" s="4" t="n">
        <v>-0.08173189883555861</v>
      </c>
      <c r="K1841">
        <f>IF(AND(I1841&gt;0,J1841&gt;=Assumptions!$B$4),1,0)</f>
        <v/>
      </c>
      <c r="L1841" s="3">
        <f>I1841*K1841</f>
        <v/>
      </c>
      <c r="M1841">
        <f>SUM($K$2:K1841)</f>
        <v/>
      </c>
    </row>
    <row r="1842">
      <c r="A1842" t="inlineStr">
        <is>
          <t>330106</t>
        </is>
      </c>
      <c r="B1842" t="inlineStr">
        <is>
          <t>North Shore University Hospital</t>
        </is>
      </c>
      <c r="C1842" t="inlineStr">
        <is>
          <t>NY</t>
        </is>
      </c>
      <c r="D1842" t="inlineStr">
        <is>
          <t>Metropolitan</t>
        </is>
      </c>
      <c r="E1842" s="5" t="n">
        <v>10570</v>
      </c>
      <c r="F1842" s="4" t="n">
        <v>0.5395458845789972</v>
      </c>
      <c r="G1842" s="4" t="n">
        <v>0.5331419444278777</v>
      </c>
      <c r="H1842" s="3" t="n">
        <v>184950139.5259685</v>
      </c>
      <c r="I1842" s="3" t="n">
        <v>-1347393.166217923</v>
      </c>
      <c r="J1842" s="4" t="n">
        <v>-0.00728516977425</v>
      </c>
      <c r="K1842">
        <f>IF(AND(I1842&gt;0,J1842&gt;=Assumptions!$B$4),1,0)</f>
        <v/>
      </c>
      <c r="L1842" s="3">
        <f>I1842*K1842</f>
        <v/>
      </c>
      <c r="M1842">
        <f>SUM($K$2:K1842)</f>
        <v/>
      </c>
    </row>
    <row r="1843">
      <c r="A1843" t="inlineStr">
        <is>
          <t>020017</t>
        </is>
      </c>
      <c r="B1843" t="inlineStr">
        <is>
          <t>Alaska Regional Hospital</t>
        </is>
      </c>
      <c r="C1843" t="inlineStr">
        <is>
          <t>AK</t>
        </is>
      </c>
      <c r="D1843" t="inlineStr">
        <is>
          <t>Metropolitan</t>
        </is>
      </c>
      <c r="E1843" s="5" t="n">
        <v>1498</v>
      </c>
      <c r="F1843" s="4" t="n">
        <v>0.5687583444592791</v>
      </c>
      <c r="G1843" s="4" t="n">
        <v>0.5038771361549869</v>
      </c>
      <c r="H1843" s="3" t="n">
        <v>31672948.80732198</v>
      </c>
      <c r="I1843" s="3" t="n">
        <v>-1348271.098666232</v>
      </c>
      <c r="J1843" s="4" t="n">
        <v>-0.0425685371724702</v>
      </c>
      <c r="K1843">
        <f>IF(AND(I1843&gt;0,J1843&gt;=Assumptions!$B$4),1,0)</f>
        <v/>
      </c>
      <c r="L1843" s="3">
        <f>I1843*K1843</f>
        <v/>
      </c>
      <c r="M1843">
        <f>SUM($K$2:K1843)</f>
        <v/>
      </c>
    </row>
    <row r="1844">
      <c r="A1844" t="inlineStr">
        <is>
          <t>330013</t>
        </is>
      </c>
      <c r="B1844" t="inlineStr">
        <is>
          <t>Albany Medical Center Hospital</t>
        </is>
      </c>
      <c r="C1844" t="inlineStr">
        <is>
          <t>NY</t>
        </is>
      </c>
      <c r="D1844" t="inlineStr">
        <is>
          <t>Metropolitan</t>
        </is>
      </c>
      <c r="E1844" s="5" t="n">
        <v>5154</v>
      </c>
      <c r="F1844" s="4" t="n">
        <v>0.5487000388048118</v>
      </c>
      <c r="G1844" s="4" t="n">
        <v>0.5125335457086428</v>
      </c>
      <c r="H1844" s="3" t="n">
        <v>109509606.4873447</v>
      </c>
      <c r="I1844" s="3" t="n">
        <v>-1349081.478597656</v>
      </c>
      <c r="J1844" s="4" t="n">
        <v>-0.012319298022074</v>
      </c>
      <c r="K1844">
        <f>IF(AND(I1844&gt;0,J1844&gt;=Assumptions!$B$4),1,0)</f>
        <v/>
      </c>
      <c r="L1844" s="3">
        <f>I1844*K1844</f>
        <v/>
      </c>
      <c r="M1844">
        <f>SUM($K$2:K1844)</f>
        <v/>
      </c>
    </row>
    <row r="1845">
      <c r="A1845" t="inlineStr">
        <is>
          <t>060031</t>
        </is>
      </c>
      <c r="B1845" t="inlineStr">
        <is>
          <t>Penrose Hospital</t>
        </is>
      </c>
      <c r="C1845" t="inlineStr">
        <is>
          <t>CO</t>
        </is>
      </c>
      <c r="D1845" t="inlineStr">
        <is>
          <t>Metropolitan</t>
        </is>
      </c>
      <c r="E1845" s="5" t="n">
        <v>3603</v>
      </c>
      <c r="F1845" s="4" t="n">
        <v>0.5928393005828476</v>
      </c>
      <c r="G1845" s="4" t="n">
        <v>0.5319507399179827</v>
      </c>
      <c r="H1845" s="3" t="n">
        <v>68882773.93011543</v>
      </c>
      <c r="I1845" s="3" t="n">
        <v>-1350963.686445326</v>
      </c>
      <c r="J1845" s="4" t="n">
        <v>-0.0196125041046682</v>
      </c>
      <c r="K1845">
        <f>IF(AND(I1845&gt;0,J1845&gt;=Assumptions!$B$4),1,0)</f>
        <v/>
      </c>
      <c r="L1845" s="3">
        <f>I1845*K1845</f>
        <v/>
      </c>
      <c r="M1845">
        <f>SUM($K$2:K1845)</f>
        <v/>
      </c>
    </row>
    <row r="1846">
      <c r="A1846" t="inlineStr">
        <is>
          <t>250004</t>
        </is>
      </c>
      <c r="B1846" t="inlineStr">
        <is>
          <t>North Mississippi Medical Center</t>
        </is>
      </c>
      <c r="C1846" t="inlineStr">
        <is>
          <t>MS</t>
        </is>
      </c>
      <c r="D1846" t="inlineStr">
        <is>
          <t>Micropolitan</t>
        </is>
      </c>
      <c r="E1846" s="5" t="n">
        <v>5451</v>
      </c>
      <c r="F1846" s="4" t="n">
        <v>0.5595303614015777</v>
      </c>
      <c r="G1846" s="4" t="n">
        <v>0.535384446740926</v>
      </c>
      <c r="H1846" s="3" t="n">
        <v>95712355.09113824</v>
      </c>
      <c r="I1846" s="3" t="n">
        <v>-1376820.047004134</v>
      </c>
      <c r="J1846" s="4" t="n">
        <v>-0.0143849772131624</v>
      </c>
      <c r="K1846">
        <f>IF(AND(I1846&gt;0,J1846&gt;=Assumptions!$B$4),1,0)</f>
        <v/>
      </c>
      <c r="L1846" s="3">
        <f>I1846*K1846</f>
        <v/>
      </c>
      <c r="M1846">
        <f>SUM($K$2:K1846)</f>
        <v/>
      </c>
    </row>
    <row r="1847">
      <c r="A1847" t="inlineStr">
        <is>
          <t>330055</t>
        </is>
      </c>
      <c r="B1847" t="inlineStr">
        <is>
          <t>New York-Presbyterian/Queens</t>
        </is>
      </c>
      <c r="C1847" t="inlineStr">
        <is>
          <t>NY</t>
        </is>
      </c>
      <c r="D1847" t="inlineStr">
        <is>
          <t>Metropolitan</t>
        </is>
      </c>
      <c r="E1847" s="5" t="n">
        <v>3937</v>
      </c>
      <c r="F1847" s="4" t="n">
        <v>0.6629413258826518</v>
      </c>
      <c r="G1847" s="4" t="n">
        <v>0.617602753169152</v>
      </c>
      <c r="H1847" s="3" t="n">
        <v>59805950.60470814</v>
      </c>
      <c r="I1847" s="3" t="n">
        <v>-1378210.018340051</v>
      </c>
      <c r="J1847" s="4" t="n">
        <v>-0.0230446971313846</v>
      </c>
      <c r="K1847">
        <f>IF(AND(I1847&gt;0,J1847&gt;=Assumptions!$B$4),1,0)</f>
        <v/>
      </c>
      <c r="L1847" s="3">
        <f>I1847*K1847</f>
        <v/>
      </c>
      <c r="M1847">
        <f>SUM($K$2:K1847)</f>
        <v/>
      </c>
    </row>
    <row r="1848">
      <c r="A1848" t="inlineStr">
        <is>
          <t>330169</t>
        </is>
      </c>
      <c r="B1848" t="inlineStr">
        <is>
          <t>Mount Sinai Beth Israel</t>
        </is>
      </c>
      <c r="C1848" t="inlineStr">
        <is>
          <t>NY</t>
        </is>
      </c>
      <c r="D1848" t="inlineStr">
        <is>
          <t>Metropolitan</t>
        </is>
      </c>
      <c r="E1848" s="5" t="n">
        <v>3585</v>
      </c>
      <c r="F1848" s="4" t="n">
        <v>0.6354253835425383</v>
      </c>
      <c r="G1848" s="4" t="n">
        <v>0.5873075715999589</v>
      </c>
      <c r="H1848" s="3" t="n">
        <v>50969878.64296255</v>
      </c>
      <c r="I1848" s="3" t="n">
        <v>-1378480.47632049</v>
      </c>
      <c r="J1848" s="4" t="n">
        <v>-0.0270450021271694</v>
      </c>
      <c r="K1848">
        <f>IF(AND(I1848&gt;0,J1848&gt;=Assumptions!$B$4),1,0)</f>
        <v/>
      </c>
      <c r="L1848" s="3">
        <f>I1848*K1848</f>
        <v/>
      </c>
      <c r="M1848">
        <f>SUM($K$2:K1848)</f>
        <v/>
      </c>
    </row>
    <row r="1849">
      <c r="A1849" t="inlineStr">
        <is>
          <t>050755</t>
        </is>
      </c>
      <c r="B1849" t="inlineStr">
        <is>
          <t>Sherman Oaks Hospital</t>
        </is>
      </c>
      <c r="C1849" t="inlineStr">
        <is>
          <t>CA</t>
        </is>
      </c>
      <c r="D1849" t="inlineStr">
        <is>
          <t>Metropolitan</t>
        </is>
      </c>
      <c r="E1849" s="5" t="n">
        <v>1117</v>
      </c>
      <c r="F1849" s="4" t="n">
        <v>0.8182632050134289</v>
      </c>
      <c r="G1849" s="4" t="n">
        <v>0.6072014993697138</v>
      </c>
      <c r="H1849" s="3" t="n">
        <v>16021424.73157846</v>
      </c>
      <c r="I1849" s="3" t="n">
        <v>-1390193.065071074</v>
      </c>
      <c r="J1849" s="4" t="n">
        <v>-0.0867708763959664</v>
      </c>
      <c r="K1849">
        <f>IF(AND(I1849&gt;0,J1849&gt;=Assumptions!$B$4),1,0)</f>
        <v/>
      </c>
      <c r="L1849" s="3">
        <f>I1849*K1849</f>
        <v/>
      </c>
      <c r="M1849">
        <f>SUM($K$2:K1849)</f>
        <v/>
      </c>
    </row>
    <row r="1850">
      <c r="A1850" t="inlineStr">
        <is>
          <t>030064</t>
        </is>
      </c>
      <c r="B1850" t="inlineStr">
        <is>
          <t>Banner - University Medical Center Tucson Campus</t>
        </is>
      </c>
      <c r="C1850" t="inlineStr">
        <is>
          <t>AZ</t>
        </is>
      </c>
      <c r="D1850" t="inlineStr">
        <is>
          <t>Metropolitan</t>
        </is>
      </c>
      <c r="E1850" s="5" t="n">
        <v>2080</v>
      </c>
      <c r="F1850" s="4" t="n">
        <v>0.6490384615384616</v>
      </c>
      <c r="G1850" s="4" t="n">
        <v>0.5874001038405035</v>
      </c>
      <c r="H1850" s="3" t="n">
        <v>41134347.69845028</v>
      </c>
      <c r="I1850" s="3" t="n">
        <v>-1390740.017258354</v>
      </c>
      <c r="J1850" s="4" t="n">
        <v>-0.0338097015042917</v>
      </c>
      <c r="K1850">
        <f>IF(AND(I1850&gt;0,J1850&gt;=Assumptions!$B$4),1,0)</f>
        <v/>
      </c>
      <c r="L1850" s="3">
        <f>I1850*K1850</f>
        <v/>
      </c>
      <c r="M1850">
        <f>SUM($K$2:K1850)</f>
        <v/>
      </c>
    </row>
    <row r="1851">
      <c r="A1851" t="inlineStr">
        <is>
          <t>050739</t>
        </is>
      </c>
      <c r="B1851" t="inlineStr">
        <is>
          <t>Centinela Hospital Medical Center</t>
        </is>
      </c>
      <c r="C1851" t="inlineStr">
        <is>
          <t>CA</t>
        </is>
      </c>
      <c r="D1851" t="inlineStr">
        <is>
          <t>Metropolitan</t>
        </is>
      </c>
      <c r="E1851" s="5" t="n">
        <v>2018</v>
      </c>
      <c r="F1851" s="4" t="n">
        <v>0.7309217046580773</v>
      </c>
      <c r="G1851" s="4" t="n">
        <v>0.6339909476390156</v>
      </c>
      <c r="H1851" s="3" t="n">
        <v>29479186.18261935</v>
      </c>
      <c r="I1851" s="3" t="n">
        <v>-1414113.046939895</v>
      </c>
      <c r="J1851" s="4" t="n">
        <v>-0.0479698807890986</v>
      </c>
      <c r="K1851">
        <f>IF(AND(I1851&gt;0,J1851&gt;=Assumptions!$B$4),1,0)</f>
        <v/>
      </c>
      <c r="L1851" s="3">
        <f>I1851*K1851</f>
        <v/>
      </c>
      <c r="M1851">
        <f>SUM($K$2:K1851)</f>
        <v/>
      </c>
    </row>
    <row r="1852">
      <c r="A1852" t="inlineStr">
        <is>
          <t>220046</t>
        </is>
      </c>
      <c r="B1852" t="inlineStr">
        <is>
          <t>Berkshire Medical Center Inc - 1</t>
        </is>
      </c>
      <c r="C1852" t="inlineStr">
        <is>
          <t>MA</t>
        </is>
      </c>
      <c r="D1852" t="inlineStr">
        <is>
          <t>Metropolitan</t>
        </is>
      </c>
      <c r="E1852" s="5" t="n">
        <v>3531</v>
      </c>
      <c r="F1852" s="4" t="n">
        <v>0.6822429906542056</v>
      </c>
      <c r="G1852" s="4" t="n">
        <v>0.6275073104889514</v>
      </c>
      <c r="H1852" s="3" t="n">
        <v>51698308.0097472</v>
      </c>
      <c r="I1852" s="3" t="n">
        <v>-1432126.450200222</v>
      </c>
      <c r="J1852" s="4" t="n">
        <v>-0.0277016116258622</v>
      </c>
      <c r="K1852">
        <f>IF(AND(I1852&gt;0,J1852&gt;=Assumptions!$B$4),1,0)</f>
        <v/>
      </c>
      <c r="L1852" s="3">
        <f>I1852*K1852</f>
        <v/>
      </c>
      <c r="M1852">
        <f>SUM($K$2:K1852)</f>
        <v/>
      </c>
    </row>
    <row r="1853">
      <c r="A1853" t="inlineStr">
        <is>
          <t>450462</t>
        </is>
      </c>
      <c r="B1853" t="inlineStr">
        <is>
          <t>Texas Health Presbyterian Hospital  Dallas</t>
        </is>
      </c>
      <c r="C1853" t="inlineStr">
        <is>
          <t>TX</t>
        </is>
      </c>
      <c r="D1853" t="inlineStr">
        <is>
          <t>Metropolitan</t>
        </is>
      </c>
      <c r="E1853" s="5" t="n">
        <v>4033</v>
      </c>
      <c r="F1853" s="4" t="n">
        <v>0.5147532853954873</v>
      </c>
      <c r="G1853" s="4" t="n">
        <v>0.4926753065707883</v>
      </c>
      <c r="H1853" s="3" t="n">
        <v>73109884.51905942</v>
      </c>
      <c r="I1853" s="3" t="n">
        <v>-1438005.596690416</v>
      </c>
      <c r="J1853" s="4" t="n">
        <v>-0.0196690995499457</v>
      </c>
      <c r="K1853">
        <f>IF(AND(I1853&gt;0,J1853&gt;=Assumptions!$B$4),1,0)</f>
        <v/>
      </c>
      <c r="L1853" s="3">
        <f>I1853*K1853</f>
        <v/>
      </c>
      <c r="M1853">
        <f>SUM($K$2:K1853)</f>
        <v/>
      </c>
    </row>
    <row r="1854">
      <c r="A1854" t="inlineStr">
        <is>
          <t>240002</t>
        </is>
      </c>
      <c r="B1854" t="inlineStr">
        <is>
          <t>Essentia Health St Mary's Medical Center</t>
        </is>
      </c>
      <c r="C1854" t="inlineStr">
        <is>
          <t>MN</t>
        </is>
      </c>
      <c r="D1854" t="inlineStr">
        <is>
          <t>Metropolitan</t>
        </is>
      </c>
      <c r="E1854" s="5" t="n">
        <v>3559</v>
      </c>
      <c r="F1854" s="4" t="n">
        <v>0.54509693734195</v>
      </c>
      <c r="G1854" s="4" t="n">
        <v>0.5235518461325497</v>
      </c>
      <c r="H1854" s="3" t="n">
        <v>69770992.55724116</v>
      </c>
      <c r="I1854" s="3" t="n">
        <v>-1440672.214411542</v>
      </c>
      <c r="J1854" s="4" t="n">
        <v>-0.0206485841982195</v>
      </c>
      <c r="K1854">
        <f>IF(AND(I1854&gt;0,J1854&gt;=Assumptions!$B$4),1,0)</f>
        <v/>
      </c>
      <c r="L1854" s="3">
        <f>I1854*K1854</f>
        <v/>
      </c>
      <c r="M1854">
        <f>SUM($K$2:K1854)</f>
        <v/>
      </c>
    </row>
    <row r="1855">
      <c r="A1855" t="inlineStr">
        <is>
          <t>140179</t>
        </is>
      </c>
      <c r="B1855" t="inlineStr">
        <is>
          <t>Osf Little Company Of Mary Medical Center</t>
        </is>
      </c>
      <c r="C1855" t="inlineStr">
        <is>
          <t>IL</t>
        </is>
      </c>
      <c r="D1855" t="inlineStr">
        <is>
          <t>Metropolitan</t>
        </is>
      </c>
      <c r="E1855" s="5" t="n">
        <v>1953</v>
      </c>
      <c r="F1855" s="4" t="n">
        <v>0.7608806963645673</v>
      </c>
      <c r="G1855" s="4" t="n">
        <v>0.6550440190249509</v>
      </c>
      <c r="H1855" s="3" t="n">
        <v>27167933.44653396</v>
      </c>
      <c r="I1855" s="3" t="n">
        <v>-1452263.336685974</v>
      </c>
      <c r="J1855" s="4" t="n">
        <v>-0.0534550535300744</v>
      </c>
      <c r="K1855">
        <f>IF(AND(I1855&gt;0,J1855&gt;=Assumptions!$B$4),1,0)</f>
        <v/>
      </c>
      <c r="L1855" s="3">
        <f>I1855*K1855</f>
        <v/>
      </c>
      <c r="M1855">
        <f>SUM($K$2:K1855)</f>
        <v/>
      </c>
    </row>
    <row r="1856">
      <c r="A1856" t="inlineStr">
        <is>
          <t>220171</t>
        </is>
      </c>
      <c r="B1856" t="inlineStr">
        <is>
          <t>Lahey Hospital &amp; Medical Center, Burlington</t>
        </is>
      </c>
      <c r="C1856" t="inlineStr">
        <is>
          <t>MA</t>
        </is>
      </c>
      <c r="D1856" t="inlineStr">
        <is>
          <t>Metropolitan</t>
        </is>
      </c>
      <c r="E1856" s="5" t="n">
        <v>6962</v>
      </c>
      <c r="F1856" s="4" t="n">
        <v>0.5486929043378339</v>
      </c>
      <c r="G1856" s="4" t="n">
        <v>0.5348499195535068</v>
      </c>
      <c r="H1856" s="3" t="n">
        <v>123289326.8823721</v>
      </c>
      <c r="I1856" s="3" t="n">
        <v>-1454020.904393062</v>
      </c>
      <c r="J1856" s="4" t="n">
        <v>-0.0117935667357508</v>
      </c>
      <c r="K1856">
        <f>IF(AND(I1856&gt;0,J1856&gt;=Assumptions!$B$4),1,0)</f>
        <v/>
      </c>
      <c r="L1856" s="3">
        <f>I1856*K1856</f>
        <v/>
      </c>
      <c r="M1856">
        <f>SUM($K$2:K1856)</f>
        <v/>
      </c>
    </row>
    <row r="1857">
      <c r="A1857" t="inlineStr">
        <is>
          <t>100226</t>
        </is>
      </c>
      <c r="B1857" t="inlineStr">
        <is>
          <t>Hca Florida Orange Park Hospital</t>
        </is>
      </c>
      <c r="C1857" t="inlineStr">
        <is>
          <t>FL</t>
        </is>
      </c>
      <c r="D1857" t="inlineStr">
        <is>
          <t>Metropolitan</t>
        </is>
      </c>
      <c r="E1857" s="5" t="n">
        <v>2477</v>
      </c>
      <c r="F1857" s="4" t="n">
        <v>0.6233346790472346</v>
      </c>
      <c r="G1857" s="4" t="n">
        <v>0.5511227428750173</v>
      </c>
      <c r="H1857" s="3" t="n">
        <v>38425684.7325461</v>
      </c>
      <c r="I1857" s="3" t="n">
        <v>-1454925.464609399</v>
      </c>
      <c r="J1857" s="4" t="n">
        <v>-0.037863358187007</v>
      </c>
      <c r="K1857">
        <f>IF(AND(I1857&gt;0,J1857&gt;=Assumptions!$B$4),1,0)</f>
        <v/>
      </c>
      <c r="L1857" s="3">
        <f>I1857*K1857</f>
        <v/>
      </c>
      <c r="M1857">
        <f>SUM($K$2:K1857)</f>
        <v/>
      </c>
    </row>
    <row r="1858">
      <c r="A1858" t="inlineStr">
        <is>
          <t>050069</t>
        </is>
      </c>
      <c r="B1858" t="inlineStr">
        <is>
          <t>Providence St. Joseph Hospital</t>
        </is>
      </c>
      <c r="C1858" t="inlineStr">
        <is>
          <t>CA</t>
        </is>
      </c>
      <c r="D1858" t="inlineStr">
        <is>
          <t>Metropolitan</t>
        </is>
      </c>
      <c r="E1858" s="5" t="n">
        <v>2491</v>
      </c>
      <c r="F1858" s="4" t="n">
        <v>0.6202328382175833</v>
      </c>
      <c r="G1858" s="4" t="n">
        <v>0.5887742547070151</v>
      </c>
      <c r="H1858" s="3" t="n">
        <v>52231758.95808976</v>
      </c>
      <c r="I1858" s="3" t="n">
        <v>-1456170.892354779</v>
      </c>
      <c r="J1858" s="4" t="n">
        <v>-0.0278790322478551</v>
      </c>
      <c r="K1858">
        <f>IF(AND(I1858&gt;0,J1858&gt;=Assumptions!$B$4),1,0)</f>
        <v/>
      </c>
      <c r="L1858" s="3">
        <f>I1858*K1858</f>
        <v/>
      </c>
      <c r="M1858">
        <f>SUM($K$2:K1858)</f>
        <v/>
      </c>
    </row>
    <row r="1859">
      <c r="A1859" t="inlineStr">
        <is>
          <t>330304</t>
        </is>
      </c>
      <c r="B1859" t="inlineStr">
        <is>
          <t>White Plains Hospital Center</t>
        </is>
      </c>
      <c r="C1859" t="inlineStr">
        <is>
          <t>NY</t>
        </is>
      </c>
      <c r="D1859" t="inlineStr">
        <is>
          <t>Metropolitan</t>
        </is>
      </c>
      <c r="E1859" s="5" t="n">
        <v>5417</v>
      </c>
      <c r="F1859" s="4" t="n">
        <v>0.6385453202879823</v>
      </c>
      <c r="G1859" s="4" t="n">
        <v>0.6045908835559862</v>
      </c>
      <c r="H1859" s="3" t="n">
        <v>86009394.63990064</v>
      </c>
      <c r="I1859" s="3" t="n">
        <v>-1469222.974414006</v>
      </c>
      <c r="J1859" s="4" t="n">
        <v>-0.0170821220235913</v>
      </c>
      <c r="K1859">
        <f>IF(AND(I1859&gt;0,J1859&gt;=Assumptions!$B$4),1,0)</f>
        <v/>
      </c>
      <c r="L1859" s="3">
        <f>I1859*K1859</f>
        <v/>
      </c>
      <c r="M1859">
        <f>SUM($K$2:K1859)</f>
        <v/>
      </c>
    </row>
    <row r="1860">
      <c r="A1860" t="inlineStr">
        <is>
          <t>390050</t>
        </is>
      </c>
      <c r="B1860" t="inlineStr">
        <is>
          <t>Allegheny General Hospital</t>
        </is>
      </c>
      <c r="C1860" t="inlineStr">
        <is>
          <t>PA</t>
        </is>
      </c>
      <c r="D1860" t="inlineStr">
        <is>
          <t>Metropolitan</t>
        </is>
      </c>
      <c r="E1860" s="5" t="n">
        <v>2421</v>
      </c>
      <c r="F1860" s="4" t="n">
        <v>0.5051631557207765</v>
      </c>
      <c r="G1860" s="4" t="n">
        <v>0.4897804637256673</v>
      </c>
      <c r="H1860" s="3" t="n">
        <v>53373535.05396507</v>
      </c>
      <c r="I1860" s="3" t="n">
        <v>-1482576.98007378</v>
      </c>
      <c r="J1860" s="4" t="n">
        <v>-0.0277773802798479</v>
      </c>
      <c r="K1860">
        <f>IF(AND(I1860&gt;0,J1860&gt;=Assumptions!$B$4),1,0)</f>
        <v/>
      </c>
      <c r="L1860" s="3">
        <f>I1860*K1860</f>
        <v/>
      </c>
      <c r="M1860">
        <f>SUM($K$2:K1860)</f>
        <v/>
      </c>
    </row>
    <row r="1861">
      <c r="A1861" t="inlineStr">
        <is>
          <t>390115</t>
        </is>
      </c>
      <c r="B1861" t="inlineStr">
        <is>
          <t>Jefferson Health-Northeast</t>
        </is>
      </c>
      <c r="C1861" t="inlineStr">
        <is>
          <t>PA</t>
        </is>
      </c>
      <c r="D1861" t="inlineStr">
        <is>
          <t>Metropolitan</t>
        </is>
      </c>
      <c r="E1861" s="5" t="n">
        <v>4199</v>
      </c>
      <c r="F1861" s="4" t="n">
        <v>0.643486544415337</v>
      </c>
      <c r="G1861" s="4" t="n">
        <v>0.6071909299550735</v>
      </c>
      <c r="H1861" s="3" t="n">
        <v>65430544.02625532</v>
      </c>
      <c r="I1861" s="3" t="n">
        <v>-1495438.309675328</v>
      </c>
      <c r="J1861" s="4" t="n">
        <v>-0.022855354971147</v>
      </c>
      <c r="K1861">
        <f>IF(AND(I1861&gt;0,J1861&gt;=Assumptions!$B$4),1,0)</f>
        <v/>
      </c>
      <c r="L1861" s="3">
        <f>I1861*K1861</f>
        <v/>
      </c>
      <c r="M1861">
        <f>SUM($K$2:K1861)</f>
        <v/>
      </c>
    </row>
    <row r="1862">
      <c r="A1862" t="inlineStr">
        <is>
          <t>320002</t>
        </is>
      </c>
      <c r="B1862" t="inlineStr">
        <is>
          <t>Christus St Vincent Regional Medical Center</t>
        </is>
      </c>
      <c r="C1862" t="inlineStr">
        <is>
          <t>NM</t>
        </is>
      </c>
      <c r="D1862" t="inlineStr">
        <is>
          <t>Metropolitan</t>
        </is>
      </c>
      <c r="E1862" s="5" t="n">
        <v>1977</v>
      </c>
      <c r="F1862" s="4" t="n">
        <v>0.687910976226606</v>
      </c>
      <c r="G1862" s="4" t="n">
        <v>0.5990906518577338</v>
      </c>
      <c r="H1862" s="3" t="n">
        <v>30007454.82982574</v>
      </c>
      <c r="I1862" s="3" t="n">
        <v>-1497425.091817357</v>
      </c>
      <c r="J1862" s="4" t="n">
        <v>-0.0499017694206107</v>
      </c>
      <c r="K1862">
        <f>IF(AND(I1862&gt;0,J1862&gt;=Assumptions!$B$4),1,0)</f>
        <v/>
      </c>
      <c r="L1862" s="3">
        <f>I1862*K1862</f>
        <v/>
      </c>
      <c r="M1862">
        <f>SUM($K$2:K1862)</f>
        <v/>
      </c>
    </row>
    <row r="1863">
      <c r="A1863" t="inlineStr">
        <is>
          <t>490007</t>
        </is>
      </c>
      <c r="B1863" t="inlineStr">
        <is>
          <t>Sentara Norfolk General Hospital</t>
        </is>
      </c>
      <c r="C1863" t="inlineStr">
        <is>
          <t>VA</t>
        </is>
      </c>
      <c r="D1863" t="inlineStr">
        <is>
          <t>Metropolitan</t>
        </is>
      </c>
      <c r="E1863" s="5" t="n">
        <v>4315</v>
      </c>
      <c r="F1863" s="4" t="n">
        <v>0.5246813441483198</v>
      </c>
      <c r="G1863" s="4" t="n">
        <v>0.51325155821985</v>
      </c>
      <c r="H1863" s="3" t="n">
        <v>103767311.9284637</v>
      </c>
      <c r="I1863" s="3" t="n">
        <v>-1503846.909133032</v>
      </c>
      <c r="J1863" s="4" t="n">
        <v>-0.0144924917219573</v>
      </c>
      <c r="K1863">
        <f>IF(AND(I1863&gt;0,J1863&gt;=Assumptions!$B$4),1,0)</f>
        <v/>
      </c>
      <c r="L1863" s="3">
        <f>I1863*K1863</f>
        <v/>
      </c>
      <c r="M1863">
        <f>SUM($K$2:K1863)</f>
        <v/>
      </c>
    </row>
    <row r="1864">
      <c r="A1864" t="inlineStr">
        <is>
          <t>050464</t>
        </is>
      </c>
      <c r="B1864" t="inlineStr">
        <is>
          <t>Doctors Medical Center</t>
        </is>
      </c>
      <c r="C1864" t="inlineStr">
        <is>
          <t>CA</t>
        </is>
      </c>
      <c r="D1864" t="inlineStr">
        <is>
          <t>Metropolitan</t>
        </is>
      </c>
      <c r="E1864" s="5" t="n">
        <v>2405</v>
      </c>
      <c r="F1864" s="4" t="n">
        <v>0.6935550935550936</v>
      </c>
      <c r="G1864" s="4" t="n">
        <v>0.6288277948069864</v>
      </c>
      <c r="H1864" s="3" t="n">
        <v>40250482.58963666</v>
      </c>
      <c r="I1864" s="3" t="n">
        <v>-1506163.904293679</v>
      </c>
      <c r="J1864" s="4" t="n">
        <v>-0.0374197725689249</v>
      </c>
      <c r="K1864">
        <f>IF(AND(I1864&gt;0,J1864&gt;=Assumptions!$B$4),1,0)</f>
        <v/>
      </c>
      <c r="L1864" s="3">
        <f>I1864*K1864</f>
        <v/>
      </c>
      <c r="M1864">
        <f>SUM($K$2:K1864)</f>
        <v/>
      </c>
    </row>
    <row r="1865">
      <c r="A1865" t="inlineStr">
        <is>
          <t>450537</t>
        </is>
      </c>
      <c r="B1865" t="inlineStr">
        <is>
          <t>Methodist Richardson Medical Center</t>
        </is>
      </c>
      <c r="C1865" t="inlineStr">
        <is>
          <t>TX</t>
        </is>
      </c>
      <c r="D1865" t="inlineStr">
        <is>
          <t>Metropolitan</t>
        </is>
      </c>
      <c r="E1865" s="5" t="n">
        <v>1762</v>
      </c>
      <c r="F1865" s="4" t="n">
        <v>0.6850170261066969</v>
      </c>
      <c r="G1865" s="4" t="n">
        <v>0.6171245743936798</v>
      </c>
      <c r="H1865" s="3" t="n">
        <v>31576776.465051</v>
      </c>
      <c r="I1865" s="3" t="n">
        <v>-1517299.804993119</v>
      </c>
      <c r="J1865" s="4" t="n">
        <v>-0.0480511304462144</v>
      </c>
      <c r="K1865">
        <f>IF(AND(I1865&gt;0,J1865&gt;=Assumptions!$B$4),1,0)</f>
        <v/>
      </c>
      <c r="L1865" s="3">
        <f>I1865*K1865</f>
        <v/>
      </c>
      <c r="M1865">
        <f>SUM($K$2:K1865)</f>
        <v/>
      </c>
    </row>
    <row r="1866">
      <c r="A1866" t="inlineStr">
        <is>
          <t>500088</t>
        </is>
      </c>
      <c r="B1866" t="inlineStr">
        <is>
          <t>Valley Medical Center</t>
        </is>
      </c>
      <c r="C1866" t="inlineStr">
        <is>
          <t>WA</t>
        </is>
      </c>
      <c r="D1866" t="inlineStr">
        <is>
          <t>Metropolitan</t>
        </is>
      </c>
      <c r="E1866" s="5" t="n">
        <v>2206</v>
      </c>
      <c r="F1866" s="4" t="n">
        <v>0.6831368993653671</v>
      </c>
      <c r="G1866" s="4" t="n">
        <v>0.5883893347906677</v>
      </c>
      <c r="H1866" s="3" t="n">
        <v>37248049.77544249</v>
      </c>
      <c r="I1866" s="3" t="n">
        <v>-1518770.145751663</v>
      </c>
      <c r="J1866" s="4" t="n">
        <v>-0.04077448765527</v>
      </c>
      <c r="K1866">
        <f>IF(AND(I1866&gt;0,J1866&gt;=Assumptions!$B$4),1,0)</f>
        <v/>
      </c>
      <c r="L1866" s="3">
        <f>I1866*K1866</f>
        <v/>
      </c>
      <c r="M1866">
        <f>SUM($K$2:K1866)</f>
        <v/>
      </c>
    </row>
    <row r="1867">
      <c r="A1867" t="inlineStr">
        <is>
          <t>450634</t>
        </is>
      </c>
      <c r="B1867" t="inlineStr">
        <is>
          <t>Medical City Denton</t>
        </is>
      </c>
      <c r="C1867" t="inlineStr">
        <is>
          <t>TX</t>
        </is>
      </c>
      <c r="D1867" t="inlineStr">
        <is>
          <t>Metropolitan</t>
        </is>
      </c>
      <c r="E1867" s="5" t="n">
        <v>1909</v>
      </c>
      <c r="F1867" s="4" t="n">
        <v>0.6223153483499214</v>
      </c>
      <c r="G1867" s="4" t="n">
        <v>0.5213123051453195</v>
      </c>
      <c r="H1867" s="3" t="n">
        <v>27471980.78519792</v>
      </c>
      <c r="I1867" s="3" t="n">
        <v>-1523176.431222785</v>
      </c>
      <c r="J1867" s="4" t="n">
        <v>-0.0554447254143204</v>
      </c>
      <c r="K1867">
        <f>IF(AND(I1867&gt;0,J1867&gt;=Assumptions!$B$4),1,0)</f>
        <v/>
      </c>
      <c r="L1867" s="3">
        <f>I1867*K1867</f>
        <v/>
      </c>
      <c r="M1867">
        <f>SUM($K$2:K1867)</f>
        <v/>
      </c>
    </row>
    <row r="1868">
      <c r="A1868" t="inlineStr">
        <is>
          <t>330141</t>
        </is>
      </c>
      <c r="B1868" t="inlineStr">
        <is>
          <t>Long Island Community Hospital</t>
        </is>
      </c>
      <c r="C1868" t="inlineStr">
        <is>
          <t>NY</t>
        </is>
      </c>
      <c r="D1868" t="inlineStr">
        <is>
          <t>Metropolitan</t>
        </is>
      </c>
      <c r="E1868" s="5" t="n">
        <v>2441</v>
      </c>
      <c r="F1868" s="4" t="n">
        <v>0.7009422367882016</v>
      </c>
      <c r="G1868" s="4" t="n">
        <v>0.6299012379814506</v>
      </c>
      <c r="H1868" s="3" t="n">
        <v>35700695.60956063</v>
      </c>
      <c r="I1868" s="3" t="n">
        <v>-1527573.397324309</v>
      </c>
      <c r="J1868" s="4" t="n">
        <v>-0.0427883370685703</v>
      </c>
      <c r="K1868">
        <f>IF(AND(I1868&gt;0,J1868&gt;=Assumptions!$B$4),1,0)</f>
        <v/>
      </c>
      <c r="L1868" s="3">
        <f>I1868*K1868</f>
        <v/>
      </c>
      <c r="M1868">
        <f>SUM($K$2:K1868)</f>
        <v/>
      </c>
    </row>
    <row r="1869">
      <c r="A1869" t="inlineStr">
        <is>
          <t>100248</t>
        </is>
      </c>
      <c r="B1869" t="inlineStr">
        <is>
          <t>Hca Florida Largo Hospital</t>
        </is>
      </c>
      <c r="C1869" t="inlineStr">
        <is>
          <t>FL</t>
        </is>
      </c>
      <c r="D1869" t="inlineStr">
        <is>
          <t>Metropolitan</t>
        </is>
      </c>
      <c r="E1869" s="5" t="n">
        <v>1645</v>
      </c>
      <c r="F1869" s="4" t="n">
        <v>0.6954407294832827</v>
      </c>
      <c r="G1869" s="4" t="n">
        <v>0.6118649526060995</v>
      </c>
      <c r="H1869" s="3" t="n">
        <v>26948829.41190139</v>
      </c>
      <c r="I1869" s="3" t="n">
        <v>-1542498.115505215</v>
      </c>
      <c r="J1869" s="4" t="n">
        <v>-0.0572380377614473</v>
      </c>
      <c r="K1869">
        <f>IF(AND(I1869&gt;0,J1869&gt;=Assumptions!$B$4),1,0)</f>
        <v/>
      </c>
      <c r="L1869" s="3">
        <f>I1869*K1869</f>
        <v/>
      </c>
      <c r="M1869">
        <f>SUM($K$2:K1869)</f>
        <v/>
      </c>
    </row>
    <row r="1870">
      <c r="A1870" t="inlineStr">
        <is>
          <t>040114</t>
        </is>
      </c>
      <c r="B1870" t="inlineStr">
        <is>
          <t>Baptist Health Medical Center-Little Rock</t>
        </is>
      </c>
      <c r="C1870" t="inlineStr">
        <is>
          <t>AR</t>
        </is>
      </c>
      <c r="D1870" t="inlineStr">
        <is>
          <t>Metropolitan</t>
        </is>
      </c>
      <c r="E1870" s="5" t="n">
        <v>4956</v>
      </c>
      <c r="F1870" s="4" t="n">
        <v>0.5825262308313156</v>
      </c>
      <c r="G1870" s="4" t="n">
        <v>0.5393797731666873</v>
      </c>
      <c r="H1870" s="3" t="n">
        <v>89075676.44331434</v>
      </c>
      <c r="I1870" s="3" t="n">
        <v>-1581536.274738476</v>
      </c>
      <c r="J1870" s="4" t="n">
        <v>-0.0177549734999197</v>
      </c>
      <c r="K1870">
        <f>IF(AND(I1870&gt;0,J1870&gt;=Assumptions!$B$4),1,0)</f>
        <v/>
      </c>
      <c r="L1870" s="3">
        <f>I1870*K1870</f>
        <v/>
      </c>
      <c r="M1870">
        <f>SUM($K$2:K1870)</f>
        <v/>
      </c>
    </row>
    <row r="1871">
      <c r="A1871" t="inlineStr">
        <is>
          <t>280060</t>
        </is>
      </c>
      <c r="B1871" t="inlineStr">
        <is>
          <t>Chi Health Creighton University Medical Center - B</t>
        </is>
      </c>
      <c r="C1871" t="inlineStr">
        <is>
          <t>NE</t>
        </is>
      </c>
      <c r="D1871" t="inlineStr">
        <is>
          <t>Metropolitan</t>
        </is>
      </c>
      <c r="E1871" s="5" t="n">
        <v>2095</v>
      </c>
      <c r="F1871" s="4" t="n">
        <v>0.5952267303102625</v>
      </c>
      <c r="G1871" s="4" t="n">
        <v>0.5349766878247735</v>
      </c>
      <c r="H1871" s="3" t="n">
        <v>43879046.62231044</v>
      </c>
      <c r="I1871" s="3" t="n">
        <v>-1609893.124014616</v>
      </c>
      <c r="J1871" s="4" t="n">
        <v>-0.0366893368917468</v>
      </c>
      <c r="K1871">
        <f>IF(AND(I1871&gt;0,J1871&gt;=Assumptions!$B$4),1,0)</f>
        <v/>
      </c>
      <c r="L1871" s="3">
        <f>I1871*K1871</f>
        <v/>
      </c>
      <c r="M1871">
        <f>SUM($K$2:K1871)</f>
        <v/>
      </c>
    </row>
    <row r="1872">
      <c r="A1872" t="inlineStr">
        <is>
          <t>390180</t>
        </is>
      </c>
      <c r="B1872" t="inlineStr">
        <is>
          <t>Crozer Chester Medical Center</t>
        </is>
      </c>
      <c r="C1872" t="inlineStr">
        <is>
          <t>PA</t>
        </is>
      </c>
      <c r="D1872" t="inlineStr">
        <is>
          <t>Metropolitan</t>
        </is>
      </c>
      <c r="E1872" s="5" t="n">
        <v>1230</v>
      </c>
      <c r="F1872" s="4" t="n">
        <v>0.8227642276422764</v>
      </c>
      <c r="G1872" s="4" t="n">
        <v>0.6647637314944016</v>
      </c>
      <c r="H1872" s="3" t="n">
        <v>18431416.08973395</v>
      </c>
      <c r="I1872" s="3" t="n">
        <v>-1617584.844686713</v>
      </c>
      <c r="J1872" s="4" t="n">
        <v>-0.0877623746765549</v>
      </c>
      <c r="K1872">
        <f>IF(AND(I1872&gt;0,J1872&gt;=Assumptions!$B$4),1,0)</f>
        <v/>
      </c>
      <c r="L1872" s="3">
        <f>I1872*K1872</f>
        <v/>
      </c>
      <c r="M1872">
        <f>SUM($K$2:K1872)</f>
        <v/>
      </c>
    </row>
    <row r="1873">
      <c r="A1873" t="inlineStr">
        <is>
          <t>100019</t>
        </is>
      </c>
      <c r="B1873" t="inlineStr">
        <is>
          <t>Holmes Regional Medical Center</t>
        </is>
      </c>
      <c r="C1873" t="inlineStr">
        <is>
          <t>FL</t>
        </is>
      </c>
      <c r="D1873" t="inlineStr">
        <is>
          <t>Metropolitan</t>
        </is>
      </c>
      <c r="E1873" s="5" t="n">
        <v>5387</v>
      </c>
      <c r="F1873" s="4" t="n">
        <v>0.4945238537219231</v>
      </c>
      <c r="G1873" s="4" t="n">
        <v>0.4864173088880501</v>
      </c>
      <c r="H1873" s="3" t="n">
        <v>99249474.9300393</v>
      </c>
      <c r="I1873" s="3" t="n">
        <v>-1623312.633078843</v>
      </c>
      <c r="J1873" s="4" t="n">
        <v>-0.0163558813205118</v>
      </c>
      <c r="K1873">
        <f>IF(AND(I1873&gt;0,J1873&gt;=Assumptions!$B$4),1,0)</f>
        <v/>
      </c>
      <c r="L1873" s="3">
        <f>I1873*K1873</f>
        <v/>
      </c>
      <c r="M1873">
        <f>SUM($K$2:K1873)</f>
        <v/>
      </c>
    </row>
    <row r="1874">
      <c r="A1874" t="inlineStr">
        <is>
          <t>110064</t>
        </is>
      </c>
      <c r="B1874" t="inlineStr">
        <is>
          <t>Piedmont Columbus Regional Midtown</t>
        </is>
      </c>
      <c r="C1874" t="inlineStr">
        <is>
          <t>GA</t>
        </is>
      </c>
      <c r="D1874" t="inlineStr">
        <is>
          <t>Metropolitan</t>
        </is>
      </c>
      <c r="E1874" s="5" t="n">
        <v>1552</v>
      </c>
      <c r="F1874" s="4" t="n">
        <v>0.7822164948453608</v>
      </c>
      <c r="G1874" s="4" t="n">
        <v>0.6550685612955951</v>
      </c>
      <c r="H1874" s="3" t="n">
        <v>25314418.96451053</v>
      </c>
      <c r="I1874" s="3" t="n">
        <v>-1629619.271433931</v>
      </c>
      <c r="J1874" s="4" t="n">
        <v>-0.0643751402597298</v>
      </c>
      <c r="K1874">
        <f>IF(AND(I1874&gt;0,J1874&gt;=Assumptions!$B$4),1,0)</f>
        <v/>
      </c>
      <c r="L1874" s="3">
        <f>I1874*K1874</f>
        <v/>
      </c>
      <c r="M1874">
        <f>SUM($K$2:K1874)</f>
        <v/>
      </c>
    </row>
    <row r="1875">
      <c r="A1875" t="inlineStr">
        <is>
          <t>150162</t>
        </is>
      </c>
      <c r="B1875" t="inlineStr">
        <is>
          <t>Franciscan Health Indianapolis</t>
        </is>
      </c>
      <c r="C1875" t="inlineStr">
        <is>
          <t>IN</t>
        </is>
      </c>
      <c r="D1875" t="inlineStr">
        <is>
          <t>Metropolitan</t>
        </is>
      </c>
      <c r="E1875" s="5" t="n">
        <v>4345</v>
      </c>
      <c r="F1875" s="4" t="n">
        <v>0.616800920598389</v>
      </c>
      <c r="G1875" s="4" t="n">
        <v>0.5722618374996051</v>
      </c>
      <c r="H1875" s="3" t="n">
        <v>75881730.22697201</v>
      </c>
      <c r="I1875" s="3" t="n">
        <v>-1652534.975839019</v>
      </c>
      <c r="J1875" s="4" t="n">
        <v>-0.0217777714200252</v>
      </c>
      <c r="K1875">
        <f>IF(AND(I1875&gt;0,J1875&gt;=Assumptions!$B$4),1,0)</f>
        <v/>
      </c>
      <c r="L1875" s="3">
        <f>I1875*K1875</f>
        <v/>
      </c>
      <c r="M1875">
        <f>SUM($K$2:K1875)</f>
        <v/>
      </c>
    </row>
    <row r="1876">
      <c r="A1876" t="inlineStr">
        <is>
          <t>140117</t>
        </is>
      </c>
      <c r="B1876" t="inlineStr">
        <is>
          <t>Presence Resurrection Medical Center</t>
        </is>
      </c>
      <c r="C1876" t="inlineStr">
        <is>
          <t>IL</t>
        </is>
      </c>
      <c r="D1876" t="inlineStr">
        <is>
          <t>Metropolitan</t>
        </is>
      </c>
      <c r="E1876" s="5" t="n">
        <v>2599</v>
      </c>
      <c r="F1876" s="4" t="n">
        <v>0.6683339746056175</v>
      </c>
      <c r="G1876" s="4" t="n">
        <v>0.6068483269121865</v>
      </c>
      <c r="H1876" s="3" t="n">
        <v>41598428.60952167</v>
      </c>
      <c r="I1876" s="3" t="n">
        <v>-1656211.469988182</v>
      </c>
      <c r="J1876" s="4" t="n">
        <v>-0.0398142796578879</v>
      </c>
      <c r="K1876">
        <f>IF(AND(I1876&gt;0,J1876&gt;=Assumptions!$B$4),1,0)</f>
        <v/>
      </c>
      <c r="L1876" s="3">
        <f>I1876*K1876</f>
        <v/>
      </c>
      <c r="M1876">
        <f>SUM($K$2:K1876)</f>
        <v/>
      </c>
    </row>
    <row r="1877">
      <c r="A1877" t="inlineStr">
        <is>
          <t>450775</t>
        </is>
      </c>
      <c r="B1877" t="inlineStr">
        <is>
          <t>Hca Houston Healthcare Kingwood</t>
        </is>
      </c>
      <c r="C1877" t="inlineStr">
        <is>
          <t>TX</t>
        </is>
      </c>
      <c r="D1877" t="inlineStr">
        <is>
          <t>Metropolitan</t>
        </is>
      </c>
      <c r="E1877" s="5" t="n">
        <v>4115</v>
      </c>
      <c r="F1877" s="4" t="n">
        <v>0.612636695018226</v>
      </c>
      <c r="G1877" s="4" t="n">
        <v>0.5697762184706032</v>
      </c>
      <c r="H1877" s="3" t="n">
        <v>65862979.81266386</v>
      </c>
      <c r="I1877" s="3" t="n">
        <v>-1676428.692497693</v>
      </c>
      <c r="J1877" s="4" t="n">
        <v>-0.0254532773534694</v>
      </c>
      <c r="K1877">
        <f>IF(AND(I1877&gt;0,J1877&gt;=Assumptions!$B$4),1,0)</f>
        <v/>
      </c>
      <c r="L1877" s="3">
        <f>I1877*K1877</f>
        <v/>
      </c>
      <c r="M1877">
        <f>SUM($K$2:K1877)</f>
        <v/>
      </c>
    </row>
    <row r="1878">
      <c r="A1878" t="inlineStr">
        <is>
          <t>390027</t>
        </is>
      </c>
      <c r="B1878" t="inlineStr">
        <is>
          <t>Temple University Hospital</t>
        </is>
      </c>
      <c r="C1878" t="inlineStr">
        <is>
          <t>PA</t>
        </is>
      </c>
      <c r="D1878" t="inlineStr">
        <is>
          <t>Metropolitan</t>
        </is>
      </c>
      <c r="E1878" s="5" t="n">
        <v>3380</v>
      </c>
      <c r="F1878" s="4" t="n">
        <v>0.6150887573964497</v>
      </c>
      <c r="G1878" s="4" t="n">
        <v>0.5904025490495851</v>
      </c>
      <c r="H1878" s="3" t="n">
        <v>53418702.44009223</v>
      </c>
      <c r="I1878" s="3" t="n">
        <v>-1683026.973864205</v>
      </c>
      <c r="J1878" s="4" t="n">
        <v>-0.0315063245078196</v>
      </c>
      <c r="K1878">
        <f>IF(AND(I1878&gt;0,J1878&gt;=Assumptions!$B$4),1,0)</f>
        <v/>
      </c>
      <c r="L1878" s="3">
        <f>I1878*K1878</f>
        <v/>
      </c>
      <c r="M1878">
        <f>SUM($K$2:K1878)</f>
        <v/>
      </c>
    </row>
    <row r="1879">
      <c r="A1879" t="inlineStr">
        <is>
          <t>350019</t>
        </is>
      </c>
      <c r="B1879" t="inlineStr">
        <is>
          <t>Altru Hospital</t>
        </is>
      </c>
      <c r="C1879" t="inlineStr">
        <is>
          <t>ND</t>
        </is>
      </c>
      <c r="D1879" t="inlineStr">
        <is>
          <t>Metropolitan</t>
        </is>
      </c>
      <c r="E1879" s="5" t="n">
        <v>2282</v>
      </c>
      <c r="F1879" s="4" t="n">
        <v>0.6752848378615249</v>
      </c>
      <c r="G1879" s="4" t="n">
        <v>0.5924811696374737</v>
      </c>
      <c r="H1879" s="3" t="n">
        <v>39130761.69444832</v>
      </c>
      <c r="I1879" s="3" t="n">
        <v>-1683902.373054169</v>
      </c>
      <c r="J1879" s="4" t="n">
        <v>-0.0430327011317306</v>
      </c>
      <c r="K1879">
        <f>IF(AND(I1879&gt;0,J1879&gt;=Assumptions!$B$4),1,0)</f>
        <v/>
      </c>
      <c r="L1879" s="3">
        <f>I1879*K1879</f>
        <v/>
      </c>
      <c r="M1879">
        <f>SUM($K$2:K1879)</f>
        <v/>
      </c>
    </row>
    <row r="1880">
      <c r="A1880" t="inlineStr">
        <is>
          <t>390142</t>
        </is>
      </c>
      <c r="B1880" t="inlineStr">
        <is>
          <t>Albert Einstein Medical Center</t>
        </is>
      </c>
      <c r="C1880" t="inlineStr">
        <is>
          <t>PA</t>
        </is>
      </c>
      <c r="D1880" t="inlineStr">
        <is>
          <t>Metropolitan</t>
        </is>
      </c>
      <c r="E1880" s="5" t="n">
        <v>1640</v>
      </c>
      <c r="F1880" s="4" t="n">
        <v>0.723780487804878</v>
      </c>
      <c r="G1880" s="4" t="n">
        <v>0.608271904508712</v>
      </c>
      <c r="H1880" s="3" t="n">
        <v>25633929.49245828</v>
      </c>
      <c r="I1880" s="3" t="n">
        <v>-1698707.070646312</v>
      </c>
      <c r="J1880" s="4" t="n">
        <v>-0.0662679153871468</v>
      </c>
      <c r="K1880">
        <f>IF(AND(I1880&gt;0,J1880&gt;=Assumptions!$B$4),1,0)</f>
        <v/>
      </c>
      <c r="L1880" s="3">
        <f>I1880*K1880</f>
        <v/>
      </c>
      <c r="M1880">
        <f>SUM($K$2:K1880)</f>
        <v/>
      </c>
    </row>
    <row r="1881">
      <c r="A1881" t="inlineStr">
        <is>
          <t>330160</t>
        </is>
      </c>
      <c r="B1881" t="inlineStr">
        <is>
          <t>Staten Island University Hospital</t>
        </is>
      </c>
      <c r="C1881" t="inlineStr">
        <is>
          <t>NY</t>
        </is>
      </c>
      <c r="D1881" t="inlineStr">
        <is>
          <t>Metropolitan</t>
        </is>
      </c>
      <c r="E1881" s="5" t="n">
        <v>6121</v>
      </c>
      <c r="F1881" s="4" t="n">
        <v>0.5820944290148669</v>
      </c>
      <c r="G1881" s="4" t="n">
        <v>0.5628429073078759</v>
      </c>
      <c r="H1881" s="3" t="n">
        <v>95784422.71576913</v>
      </c>
      <c r="I1881" s="3" t="n">
        <v>-1717253.236405477</v>
      </c>
      <c r="J1881" s="4" t="n">
        <v>-0.0179283143095329</v>
      </c>
      <c r="K1881">
        <f>IF(AND(I1881&gt;0,J1881&gt;=Assumptions!$B$4),1,0)</f>
        <v/>
      </c>
      <c r="L1881" s="3">
        <f>I1881*K1881</f>
        <v/>
      </c>
      <c r="M1881">
        <f>SUM($K$2:K1881)</f>
        <v/>
      </c>
    </row>
    <row r="1882">
      <c r="A1882" t="inlineStr">
        <is>
          <t>320021</t>
        </is>
      </c>
      <c r="B1882" t="inlineStr">
        <is>
          <t>Presbyterian Hospital</t>
        </is>
      </c>
      <c r="C1882" t="inlineStr">
        <is>
          <t>NM</t>
        </is>
      </c>
      <c r="D1882" t="inlineStr">
        <is>
          <t>Metropolitan</t>
        </is>
      </c>
      <c r="E1882" s="5" t="n">
        <v>4907</v>
      </c>
      <c r="F1882" s="4" t="n">
        <v>0.65865090686774</v>
      </c>
      <c r="G1882" s="4" t="n">
        <v>0.5996278230410508</v>
      </c>
      <c r="H1882" s="3" t="n">
        <v>82848470.26292744</v>
      </c>
      <c r="I1882" s="3" t="n">
        <v>-1720590.89580588</v>
      </c>
      <c r="J1882" s="4" t="n">
        <v>-0.0207679259537976</v>
      </c>
      <c r="K1882">
        <f>IF(AND(I1882&gt;0,J1882&gt;=Assumptions!$B$4),1,0)</f>
        <v/>
      </c>
      <c r="L1882" s="3">
        <f>I1882*K1882</f>
        <v/>
      </c>
      <c r="M1882">
        <f>SUM($K$2:K1882)</f>
        <v/>
      </c>
    </row>
    <row r="1883">
      <c r="A1883" t="inlineStr">
        <is>
          <t>110078</t>
        </is>
      </c>
      <c r="B1883" t="inlineStr">
        <is>
          <t>Emory University Hospital Midtown</t>
        </is>
      </c>
      <c r="C1883" t="inlineStr">
        <is>
          <t>GA</t>
        </is>
      </c>
      <c r="D1883" t="inlineStr">
        <is>
          <t>Metropolitan</t>
        </is>
      </c>
      <c r="E1883" s="5" t="n">
        <v>1742</v>
      </c>
      <c r="F1883" s="4" t="n">
        <v>0.6326061997703789</v>
      </c>
      <c r="G1883" s="4" t="n">
        <v>0.553700696928262</v>
      </c>
      <c r="H1883" s="3" t="n">
        <v>36626371.15200498</v>
      </c>
      <c r="I1883" s="3" t="n">
        <v>-1723898.22580909</v>
      </c>
      <c r="J1883" s="4" t="n">
        <v>-0.047067131457131</v>
      </c>
      <c r="K1883">
        <f>IF(AND(I1883&gt;0,J1883&gt;=Assumptions!$B$4),1,0)</f>
        <v/>
      </c>
      <c r="L1883" s="3">
        <f>I1883*K1883</f>
        <v/>
      </c>
      <c r="M1883">
        <f>SUM($K$2:K1883)</f>
        <v/>
      </c>
    </row>
    <row r="1884">
      <c r="A1884" t="inlineStr">
        <is>
          <t>410007</t>
        </is>
      </c>
      <c r="B1884" t="inlineStr">
        <is>
          <t>Rhode Island Hospital</t>
        </is>
      </c>
      <c r="C1884" t="inlineStr">
        <is>
          <t>RI</t>
        </is>
      </c>
      <c r="D1884" t="inlineStr">
        <is>
          <t>Metropolitan</t>
        </is>
      </c>
      <c r="E1884" s="5" t="n">
        <v>4252</v>
      </c>
      <c r="F1884" s="4" t="n">
        <v>0.5199905926622765</v>
      </c>
      <c r="G1884" s="4" t="n">
        <v>0.4984398984747925</v>
      </c>
      <c r="H1884" s="3" t="n">
        <v>80777197.68006518</v>
      </c>
      <c r="I1884" s="3" t="n">
        <v>-1726656.087672189</v>
      </c>
      <c r="J1884" s="4" t="n">
        <v>-0.0213755383606023</v>
      </c>
      <c r="K1884">
        <f>IF(AND(I1884&gt;0,J1884&gt;=Assumptions!$B$4),1,0)</f>
        <v/>
      </c>
      <c r="L1884" s="3">
        <f>I1884*K1884</f>
        <v/>
      </c>
      <c r="M1884">
        <f>SUM($K$2:K1884)</f>
        <v/>
      </c>
    </row>
    <row r="1885">
      <c r="A1885" t="inlineStr">
        <is>
          <t>330046</t>
        </is>
      </c>
      <c r="B1885" t="inlineStr">
        <is>
          <t>Mount Sinai West</t>
        </is>
      </c>
      <c r="C1885" t="inlineStr">
        <is>
          <t>NY</t>
        </is>
      </c>
      <c r="D1885" t="inlineStr">
        <is>
          <t>Metropolitan</t>
        </is>
      </c>
      <c r="E1885" s="5" t="n">
        <v>4323</v>
      </c>
      <c r="F1885" s="4" t="n">
        <v>0.5896368262780477</v>
      </c>
      <c r="G1885" s="4" t="n">
        <v>0.5341372777695292</v>
      </c>
      <c r="H1885" s="3" t="n">
        <v>72534641.72198753</v>
      </c>
      <c r="I1885" s="3" t="n">
        <v>-1729905.64323996</v>
      </c>
      <c r="J1885" s="4" t="n">
        <v>-0.0238493718611085</v>
      </c>
      <c r="K1885">
        <f>IF(AND(I1885&gt;0,J1885&gt;=Assumptions!$B$4),1,0)</f>
        <v/>
      </c>
      <c r="L1885" s="3">
        <f>I1885*K1885</f>
        <v/>
      </c>
      <c r="M1885">
        <f>SUM($K$2:K1885)</f>
        <v/>
      </c>
    </row>
    <row r="1886">
      <c r="A1886" t="inlineStr">
        <is>
          <t>260104</t>
        </is>
      </c>
      <c r="B1886" t="inlineStr">
        <is>
          <t>Ssm Health Depaul Hospital St Louis</t>
        </is>
      </c>
      <c r="C1886" t="inlineStr">
        <is>
          <t>MO</t>
        </is>
      </c>
      <c r="D1886" t="inlineStr">
        <is>
          <t>Metropolitan</t>
        </is>
      </c>
      <c r="E1886" s="5" t="n">
        <v>1674</v>
      </c>
      <c r="F1886" s="4" t="n">
        <v>0.6923536439665472</v>
      </c>
      <c r="G1886" s="4" t="n">
        <v>0.6070657392490988</v>
      </c>
      <c r="H1886" s="3" t="n">
        <v>27134877.65318312</v>
      </c>
      <c r="I1886" s="3" t="n">
        <v>-1742253.091658469</v>
      </c>
      <c r="J1886" s="4" t="n">
        <v>-0.0642071474921166</v>
      </c>
      <c r="K1886">
        <f>IF(AND(I1886&gt;0,J1886&gt;=Assumptions!$B$4),1,0)</f>
        <v/>
      </c>
      <c r="L1886" s="3">
        <f>I1886*K1886</f>
        <v/>
      </c>
      <c r="M1886">
        <f>SUM($K$2:K1886)</f>
        <v/>
      </c>
    </row>
    <row r="1887">
      <c r="A1887" t="inlineStr">
        <is>
          <t>050231</t>
        </is>
      </c>
      <c r="B1887" t="inlineStr">
        <is>
          <t>Pomona Valley Hospital Medical Center</t>
        </is>
      </c>
      <c r="C1887" t="inlineStr">
        <is>
          <t>CA</t>
        </is>
      </c>
      <c r="D1887" t="inlineStr">
        <is>
          <t>Metropolitan</t>
        </is>
      </c>
      <c r="E1887" s="5" t="n">
        <v>1849</v>
      </c>
      <c r="F1887" s="4" t="n">
        <v>0.7760951865873446</v>
      </c>
      <c r="G1887" s="4" t="n">
        <v>0.6677631943492081</v>
      </c>
      <c r="H1887" s="3" t="n">
        <v>29789028.73641574</v>
      </c>
      <c r="I1887" s="3" t="n">
        <v>-1749001.590451661</v>
      </c>
      <c r="J1887" s="4" t="n">
        <v>-0.058712944484611</v>
      </c>
      <c r="K1887">
        <f>IF(AND(I1887&gt;0,J1887&gt;=Assumptions!$B$4),1,0)</f>
        <v/>
      </c>
      <c r="L1887" s="3">
        <f>I1887*K1887</f>
        <v/>
      </c>
      <c r="M1887">
        <f>SUM($K$2:K1887)</f>
        <v/>
      </c>
    </row>
    <row r="1888">
      <c r="A1888" t="inlineStr">
        <is>
          <t>050278</t>
        </is>
      </c>
      <c r="B1888" t="inlineStr">
        <is>
          <t>Providence Holy Cross Medical Center</t>
        </is>
      </c>
      <c r="C1888" t="inlineStr">
        <is>
          <t>CA</t>
        </is>
      </c>
      <c r="D1888" t="inlineStr">
        <is>
          <t>Metropolitan</t>
        </is>
      </c>
      <c r="E1888" s="5" t="n">
        <v>1862</v>
      </c>
      <c r="F1888" s="4" t="n">
        <v>0.7674543501611171</v>
      </c>
      <c r="G1888" s="4" t="n">
        <v>0.6616797684837675</v>
      </c>
      <c r="H1888" s="3" t="n">
        <v>29355470.41094863</v>
      </c>
      <c r="I1888" s="3" t="n">
        <v>-1758897.10912</v>
      </c>
      <c r="J1888" s="4" t="n">
        <v>-0.0599171835605805</v>
      </c>
      <c r="K1888">
        <f>IF(AND(I1888&gt;0,J1888&gt;=Assumptions!$B$4),1,0)</f>
        <v/>
      </c>
      <c r="L1888" s="3">
        <f>I1888*K1888</f>
        <v/>
      </c>
      <c r="M1888">
        <f>SUM($K$2:K1888)</f>
        <v/>
      </c>
    </row>
    <row r="1889">
      <c r="A1889" t="inlineStr">
        <is>
          <t>140288</t>
        </is>
      </c>
      <c r="B1889" t="inlineStr">
        <is>
          <t>Advocate Good Samaritan Hospital</t>
        </is>
      </c>
      <c r="C1889" t="inlineStr">
        <is>
          <t>IL</t>
        </is>
      </c>
      <c r="D1889" t="inlineStr">
        <is>
          <t>Metropolitan</t>
        </is>
      </c>
      <c r="E1889" s="5" t="n">
        <v>3207</v>
      </c>
      <c r="F1889" s="4" t="n">
        <v>0.5871531025880885</v>
      </c>
      <c r="G1889" s="4" t="n">
        <v>0.5432927186537201</v>
      </c>
      <c r="H1889" s="3" t="n">
        <v>56347886.98663375</v>
      </c>
      <c r="I1889" s="3" t="n">
        <v>-1760176.10104692</v>
      </c>
      <c r="J1889" s="4" t="n">
        <v>-0.0312376593902172</v>
      </c>
      <c r="K1889">
        <f>IF(AND(I1889&gt;0,J1889&gt;=Assumptions!$B$4),1,0)</f>
        <v/>
      </c>
      <c r="L1889" s="3">
        <f>I1889*K1889</f>
        <v/>
      </c>
      <c r="M1889">
        <f>SUM($K$2:K1889)</f>
        <v/>
      </c>
    </row>
    <row r="1890">
      <c r="A1890" t="inlineStr">
        <is>
          <t>310108</t>
        </is>
      </c>
      <c r="B1890" t="inlineStr">
        <is>
          <t>Jfk University Medical Center</t>
        </is>
      </c>
      <c r="C1890" t="inlineStr">
        <is>
          <t>NJ</t>
        </is>
      </c>
      <c r="D1890" t="inlineStr">
        <is>
          <t>Metropolitan</t>
        </is>
      </c>
      <c r="E1890" s="5" t="n">
        <v>3659</v>
      </c>
      <c r="F1890" s="4" t="n">
        <v>0.7165892320306094</v>
      </c>
      <c r="G1890" s="4" t="n">
        <v>0.6561175291708781</v>
      </c>
      <c r="H1890" s="3" t="n">
        <v>55995003.69617739</v>
      </c>
      <c r="I1890" s="3" t="n">
        <v>-1761962.50531511</v>
      </c>
      <c r="J1890" s="4" t="n">
        <v>-0.031466423591564</v>
      </c>
      <c r="K1890">
        <f>IF(AND(I1890&gt;0,J1890&gt;=Assumptions!$B$4),1,0)</f>
        <v/>
      </c>
      <c r="L1890" s="3">
        <f>I1890*K1890</f>
        <v/>
      </c>
      <c r="M1890">
        <f>SUM($K$2:K1890)</f>
        <v/>
      </c>
    </row>
    <row r="1891">
      <c r="A1891" t="inlineStr">
        <is>
          <t>500079</t>
        </is>
      </c>
      <c r="B1891" t="inlineStr">
        <is>
          <t>Multicare Good Samaritan Hospital</t>
        </is>
      </c>
      <c r="C1891" t="inlineStr">
        <is>
          <t>WA</t>
        </is>
      </c>
      <c r="D1891" t="inlineStr">
        <is>
          <t>Metropolitan</t>
        </is>
      </c>
      <c r="E1891" s="5" t="n">
        <v>3556</v>
      </c>
      <c r="F1891" s="4" t="n">
        <v>0.6625421822272216</v>
      </c>
      <c r="G1891" s="4" t="n">
        <v>0.5963835455894358</v>
      </c>
      <c r="H1891" s="3" t="n">
        <v>50730076.68165962</v>
      </c>
      <c r="I1891" s="3" t="n">
        <v>-1768486.199816182</v>
      </c>
      <c r="J1891" s="4" t="n">
        <v>-0.0348607042507298</v>
      </c>
      <c r="K1891">
        <f>IF(AND(I1891&gt;0,J1891&gt;=Assumptions!$B$4),1,0)</f>
        <v/>
      </c>
      <c r="L1891" s="3">
        <f>I1891*K1891</f>
        <v/>
      </c>
      <c r="M1891">
        <f>SUM($K$2:K1891)</f>
        <v/>
      </c>
    </row>
    <row r="1892">
      <c r="A1892" t="inlineStr">
        <is>
          <t>170123</t>
        </is>
      </c>
      <c r="B1892" t="inlineStr">
        <is>
          <t>Wesley Medical Center</t>
        </is>
      </c>
      <c r="C1892" t="inlineStr">
        <is>
          <t>KS</t>
        </is>
      </c>
      <c r="D1892" t="inlineStr">
        <is>
          <t>Metropolitan</t>
        </is>
      </c>
      <c r="E1892" s="5" t="n">
        <v>5077</v>
      </c>
      <c r="F1892" s="4" t="n">
        <v>0.5879456371873153</v>
      </c>
      <c r="G1892" s="4" t="n">
        <v>0.5397346315105247</v>
      </c>
      <c r="H1892" s="3" t="n">
        <v>94111165.45818648</v>
      </c>
      <c r="I1892" s="3" t="n">
        <v>-1771571.005100563</v>
      </c>
      <c r="J1892" s="4" t="n">
        <v>-0.0188242382981397</v>
      </c>
      <c r="K1892">
        <f>IF(AND(I1892&gt;0,J1892&gt;=Assumptions!$B$4),1,0)</f>
        <v/>
      </c>
      <c r="L1892" s="3">
        <f>I1892*K1892</f>
        <v/>
      </c>
      <c r="M1892">
        <f>SUM($K$2:K1892)</f>
        <v/>
      </c>
    </row>
    <row r="1893">
      <c r="A1893" t="inlineStr">
        <is>
          <t>330194</t>
        </is>
      </c>
      <c r="B1893" t="inlineStr">
        <is>
          <t>Maimonides Medical Center</t>
        </is>
      </c>
      <c r="C1893" t="inlineStr">
        <is>
          <t>NY</t>
        </is>
      </c>
      <c r="D1893" t="inlineStr">
        <is>
          <t>Metropolitan</t>
        </is>
      </c>
      <c r="E1893" s="5" t="n">
        <v>4433</v>
      </c>
      <c r="F1893" s="4" t="n">
        <v>0.6580193999548838</v>
      </c>
      <c r="G1893" s="4" t="n">
        <v>0.6148006240703248</v>
      </c>
      <c r="H1893" s="3" t="n">
        <v>70097705.39574429</v>
      </c>
      <c r="I1893" s="3" t="n">
        <v>-1781592.844532028</v>
      </c>
      <c r="J1893" s="4" t="n">
        <v>-0.0254158511248528</v>
      </c>
      <c r="K1893">
        <f>IF(AND(I1893&gt;0,J1893&gt;=Assumptions!$B$4),1,0)</f>
        <v/>
      </c>
      <c r="L1893" s="3">
        <f>I1893*K1893</f>
        <v/>
      </c>
      <c r="M1893">
        <f>SUM($K$2:K1893)</f>
        <v/>
      </c>
    </row>
    <row r="1894">
      <c r="A1894" t="inlineStr">
        <is>
          <t>050043</t>
        </is>
      </c>
      <c r="B1894" t="inlineStr">
        <is>
          <t>Alta Bates Summit Medical Center</t>
        </is>
      </c>
      <c r="C1894" t="inlineStr">
        <is>
          <t>CA</t>
        </is>
      </c>
      <c r="D1894" t="inlineStr">
        <is>
          <t>Metropolitan</t>
        </is>
      </c>
      <c r="E1894" s="5" t="n">
        <v>2680</v>
      </c>
      <c r="F1894" s="4" t="n">
        <v>0.710820895522388</v>
      </c>
      <c r="G1894" s="4" t="n">
        <v>0.6308071279416024</v>
      </c>
      <c r="H1894" s="3" t="n">
        <v>44627215.67943724</v>
      </c>
      <c r="I1894" s="3" t="n">
        <v>-1782186.998185039</v>
      </c>
      <c r="J1894" s="4" t="n">
        <v>-0.0399349807298467</v>
      </c>
      <c r="K1894">
        <f>IF(AND(I1894&gt;0,J1894&gt;=Assumptions!$B$4),1,0)</f>
        <v/>
      </c>
      <c r="L1894" s="3">
        <f>I1894*K1894</f>
        <v/>
      </c>
      <c r="M1894">
        <f>SUM($K$2:K1894)</f>
        <v/>
      </c>
    </row>
    <row r="1895">
      <c r="A1895" t="inlineStr">
        <is>
          <t>050764</t>
        </is>
      </c>
      <c r="B1895" t="inlineStr">
        <is>
          <t>Shasta Regional Medical Center</t>
        </is>
      </c>
      <c r="C1895" t="inlineStr">
        <is>
          <t>CA</t>
        </is>
      </c>
      <c r="D1895" t="inlineStr">
        <is>
          <t>Metropolitan</t>
        </is>
      </c>
      <c r="E1895" s="5" t="n">
        <v>1639</v>
      </c>
      <c r="F1895" s="4" t="n">
        <v>0.75045759609518</v>
      </c>
      <c r="G1895" s="4" t="n">
        <v>0.5922319618596141</v>
      </c>
      <c r="H1895" s="3" t="n">
        <v>28191240.90498855</v>
      </c>
      <c r="I1895" s="3" t="n">
        <v>-1819937.480005279</v>
      </c>
      <c r="J1895" s="4" t="n">
        <v>-0.0645568418268255</v>
      </c>
      <c r="K1895">
        <f>IF(AND(I1895&gt;0,J1895&gt;=Assumptions!$B$4),1,0)</f>
        <v/>
      </c>
      <c r="L1895" s="3">
        <f>I1895*K1895</f>
        <v/>
      </c>
      <c r="M1895">
        <f>SUM($K$2:K1895)</f>
        <v/>
      </c>
    </row>
    <row r="1896">
      <c r="A1896" t="inlineStr">
        <is>
          <t>040026</t>
        </is>
      </c>
      <c r="B1896" t="inlineStr">
        <is>
          <t>Chi St. Vincent Hospital Hot Springs</t>
        </is>
      </c>
      <c r="C1896" t="inlineStr">
        <is>
          <t>AR</t>
        </is>
      </c>
      <c r="D1896" t="inlineStr">
        <is>
          <t>Metropolitan</t>
        </is>
      </c>
      <c r="E1896" s="5" t="n">
        <v>2796</v>
      </c>
      <c r="F1896" s="4" t="n">
        <v>0.7045779685264664</v>
      </c>
      <c r="G1896" s="4" t="n">
        <v>0.6188423122486832</v>
      </c>
      <c r="H1896" s="3" t="n">
        <v>41959414.25078118</v>
      </c>
      <c r="I1896" s="3" t="n">
        <v>-1820298.757969037</v>
      </c>
      <c r="J1896" s="4" t="n">
        <v>-0.0433823681877338</v>
      </c>
      <c r="K1896">
        <f>IF(AND(I1896&gt;0,J1896&gt;=Assumptions!$B$4),1,0)</f>
        <v/>
      </c>
      <c r="L1896" s="3">
        <f>I1896*K1896</f>
        <v/>
      </c>
      <c r="M1896">
        <f>SUM($K$2:K1896)</f>
        <v/>
      </c>
    </row>
    <row r="1897">
      <c r="A1897" t="inlineStr">
        <is>
          <t>050599</t>
        </is>
      </c>
      <c r="B1897" t="inlineStr">
        <is>
          <t>University Of California Davis Medical Center</t>
        </is>
      </c>
      <c r="C1897" t="inlineStr">
        <is>
          <t>CA</t>
        </is>
      </c>
      <c r="D1897" t="inlineStr">
        <is>
          <t>Metropolitan</t>
        </is>
      </c>
      <c r="E1897" s="5" t="n">
        <v>5528</v>
      </c>
      <c r="F1897" s="4" t="n">
        <v>0.5524602026049205</v>
      </c>
      <c r="G1897" s="4" t="n">
        <v>0.5307856254404411</v>
      </c>
      <c r="H1897" s="3" t="n">
        <v>116413019.8412615</v>
      </c>
      <c r="I1897" s="3" t="n">
        <v>-1831569.063168794</v>
      </c>
      <c r="J1897" s="4" t="n">
        <v>-0.0157333695635272</v>
      </c>
      <c r="K1897">
        <f>IF(AND(I1897&gt;0,J1897&gt;=Assumptions!$B$4),1,0)</f>
        <v/>
      </c>
      <c r="L1897" s="3">
        <f>I1897*K1897</f>
        <v/>
      </c>
      <c r="M1897">
        <f>SUM($K$2:K1897)</f>
        <v/>
      </c>
    </row>
    <row r="1898">
      <c r="A1898" t="inlineStr">
        <is>
          <t>050084</t>
        </is>
      </c>
      <c r="B1898" t="inlineStr">
        <is>
          <t>St Joseph's Medical Center Of Stockton</t>
        </is>
      </c>
      <c r="C1898" t="inlineStr">
        <is>
          <t>CA</t>
        </is>
      </c>
      <c r="D1898" t="inlineStr">
        <is>
          <t>Metropolitan</t>
        </is>
      </c>
      <c r="E1898" s="5" t="n">
        <v>2589</v>
      </c>
      <c r="F1898" s="4" t="n">
        <v>0.7555040556199305</v>
      </c>
      <c r="G1898" s="4" t="n">
        <v>0.6732343056263295</v>
      </c>
      <c r="H1898" s="3" t="n">
        <v>48669274.80103688</v>
      </c>
      <c r="I1898" s="3" t="n">
        <v>-1842735.297245033</v>
      </c>
      <c r="J1898" s="4" t="n">
        <v>-0.0378623948020235</v>
      </c>
      <c r="K1898">
        <f>IF(AND(I1898&gt;0,J1898&gt;=Assumptions!$B$4),1,0)</f>
        <v/>
      </c>
      <c r="L1898" s="3">
        <f>I1898*K1898</f>
        <v/>
      </c>
      <c r="M1898">
        <f>SUM($K$2:K1898)</f>
        <v/>
      </c>
    </row>
    <row r="1899">
      <c r="A1899" t="inlineStr">
        <is>
          <t>440091</t>
        </is>
      </c>
      <c r="B1899" t="inlineStr">
        <is>
          <t>Memorial Healthcare System, Inc</t>
        </is>
      </c>
      <c r="C1899" t="inlineStr">
        <is>
          <t>TN</t>
        </is>
      </c>
      <c r="D1899" t="inlineStr">
        <is>
          <t>Metropolitan</t>
        </is>
      </c>
      <c r="E1899" s="5" t="n">
        <v>5420</v>
      </c>
      <c r="F1899" s="4" t="n">
        <v>0.6201107011070111</v>
      </c>
      <c r="G1899" s="4" t="n">
        <v>0.5644125680261857</v>
      </c>
      <c r="H1899" s="3" t="n">
        <v>96313162.67410251</v>
      </c>
      <c r="I1899" s="3" t="n">
        <v>-1849455.8586009</v>
      </c>
      <c r="J1899" s="4" t="n">
        <v>-0.0192025244239871</v>
      </c>
      <c r="K1899">
        <f>IF(AND(I1899&gt;0,J1899&gt;=Assumptions!$B$4),1,0)</f>
        <v/>
      </c>
      <c r="L1899" s="3">
        <f>I1899*K1899</f>
        <v/>
      </c>
      <c r="M1899">
        <f>SUM($K$2:K1899)</f>
        <v/>
      </c>
    </row>
    <row r="1900">
      <c r="A1900" t="inlineStr">
        <is>
          <t>100173</t>
        </is>
      </c>
      <c r="B1900" t="inlineStr">
        <is>
          <t>Adventhealth Tampa</t>
        </is>
      </c>
      <c r="C1900" t="inlineStr">
        <is>
          <t>FL</t>
        </is>
      </c>
      <c r="D1900" t="inlineStr">
        <is>
          <t>Metropolitan</t>
        </is>
      </c>
      <c r="E1900" s="5" t="n">
        <v>3187</v>
      </c>
      <c r="F1900" s="4" t="n">
        <v>0.586131157828679</v>
      </c>
      <c r="G1900" s="4" t="n">
        <v>0.5408954943571277</v>
      </c>
      <c r="H1900" s="3" t="n">
        <v>53040927.30117247</v>
      </c>
      <c r="I1900" s="3" t="n">
        <v>-1855638.956145145</v>
      </c>
      <c r="J1900" s="4" t="n">
        <v>-0.0349850398656986</v>
      </c>
      <c r="K1900">
        <f>IF(AND(I1900&gt;0,J1900&gt;=Assumptions!$B$4),1,0)</f>
        <v/>
      </c>
      <c r="L1900" s="3">
        <f>I1900*K1900</f>
        <v/>
      </c>
      <c r="M1900">
        <f>SUM($K$2:K1900)</f>
        <v/>
      </c>
    </row>
    <row r="1901">
      <c r="A1901" t="inlineStr">
        <is>
          <t>500054</t>
        </is>
      </c>
      <c r="B1901" t="inlineStr">
        <is>
          <t>Prov Sacred Hrt Med Ctr &amp; Childs Hosp.</t>
        </is>
      </c>
      <c r="C1901" t="inlineStr">
        <is>
          <t>WA</t>
        </is>
      </c>
      <c r="D1901" t="inlineStr">
        <is>
          <t>Metropolitan</t>
        </is>
      </c>
      <c r="E1901" s="5" t="n">
        <v>3337</v>
      </c>
      <c r="F1901" s="4" t="n">
        <v>0.6119268804315253</v>
      </c>
      <c r="G1901" s="4" t="n">
        <v>0.535192517131113</v>
      </c>
      <c r="H1901" s="3" t="n">
        <v>78818757.88878573</v>
      </c>
      <c r="I1901" s="3" t="n">
        <v>-1885135.743134886</v>
      </c>
      <c r="J1901" s="4" t="n">
        <v>-0.0239173490375836</v>
      </c>
      <c r="K1901">
        <f>IF(AND(I1901&gt;0,J1901&gt;=Assumptions!$B$4),1,0)</f>
        <v/>
      </c>
      <c r="L1901" s="3">
        <f>I1901*K1901</f>
        <v/>
      </c>
      <c r="M1901">
        <f>SUM($K$2:K1901)</f>
        <v/>
      </c>
    </row>
    <row r="1902">
      <c r="A1902" t="inlineStr">
        <is>
          <t>060112</t>
        </is>
      </c>
      <c r="B1902" t="inlineStr">
        <is>
          <t>Sky Ridge Medical Center</t>
        </is>
      </c>
      <c r="C1902" t="inlineStr">
        <is>
          <t>CO</t>
        </is>
      </c>
      <c r="D1902" t="inlineStr">
        <is>
          <t>Metropolitan</t>
        </is>
      </c>
      <c r="E1902" s="5" t="n">
        <v>1520</v>
      </c>
      <c r="F1902" s="4" t="n">
        <v>0.5098684210526315</v>
      </c>
      <c r="G1902" s="4" t="n">
        <v>0.4743568634316172</v>
      </c>
      <c r="H1902" s="3" t="n">
        <v>32006351.12947101</v>
      </c>
      <c r="I1902" s="3" t="n">
        <v>-1889242.403410628</v>
      </c>
      <c r="J1902" s="4" t="n">
        <v>-0.0590271098310559</v>
      </c>
      <c r="K1902">
        <f>IF(AND(I1902&gt;0,J1902&gt;=Assumptions!$B$4),1,0)</f>
        <v/>
      </c>
      <c r="L1902" s="3">
        <f>I1902*K1902</f>
        <v/>
      </c>
      <c r="M1902">
        <f>SUM($K$2:K1902)</f>
        <v/>
      </c>
    </row>
    <row r="1903">
      <c r="A1903" t="inlineStr">
        <is>
          <t>450018</t>
        </is>
      </c>
      <c r="B1903" t="inlineStr">
        <is>
          <t>University Of Texas Medical Branch</t>
        </is>
      </c>
      <c r="C1903" t="inlineStr">
        <is>
          <t>TX</t>
        </is>
      </c>
      <c r="D1903" t="inlineStr">
        <is>
          <t>Micropolitan</t>
        </is>
      </c>
      <c r="E1903" s="5" t="n">
        <v>3285</v>
      </c>
      <c r="F1903" s="4" t="n">
        <v>0.6368340943683409</v>
      </c>
      <c r="G1903" s="4" t="n">
        <v>0.5776825015605329</v>
      </c>
      <c r="H1903" s="3" t="n">
        <v>51409928.27299927</v>
      </c>
      <c r="I1903" s="3" t="n">
        <v>-1890039.75772655</v>
      </c>
      <c r="J1903" s="4" t="n">
        <v>-0.0367641002665862</v>
      </c>
      <c r="K1903">
        <f>IF(AND(I1903&gt;0,J1903&gt;=Assumptions!$B$4),1,0)</f>
        <v/>
      </c>
      <c r="L1903" s="3">
        <f>I1903*K1903</f>
        <v/>
      </c>
      <c r="M1903">
        <f>SUM($K$2:K1903)</f>
        <v/>
      </c>
    </row>
    <row r="1904">
      <c r="A1904" t="inlineStr">
        <is>
          <t>140258</t>
        </is>
      </c>
      <c r="B1904" t="inlineStr">
        <is>
          <t>Alexian Brothers Medical Center 1</t>
        </is>
      </c>
      <c r="C1904" t="inlineStr">
        <is>
          <t>IL</t>
        </is>
      </c>
      <c r="D1904" t="inlineStr">
        <is>
          <t>Metropolitan</t>
        </is>
      </c>
      <c r="E1904" s="5" t="n">
        <v>3392</v>
      </c>
      <c r="F1904" s="4" t="n">
        <v>0.5958136792452831</v>
      </c>
      <c r="G1904" s="4" t="n">
        <v>0.543619673805441</v>
      </c>
      <c r="H1904" s="3" t="n">
        <v>61863858.17496432</v>
      </c>
      <c r="I1904" s="3" t="n">
        <v>-1895417.138505802</v>
      </c>
      <c r="J1904" s="4" t="n">
        <v>-0.0306385213341391</v>
      </c>
      <c r="K1904">
        <f>IF(AND(I1904&gt;0,J1904&gt;=Assumptions!$B$4),1,0)</f>
        <v/>
      </c>
      <c r="L1904" s="3">
        <f>I1904*K1904</f>
        <v/>
      </c>
      <c r="M1904">
        <f>SUM($K$2:K1904)</f>
        <v/>
      </c>
    </row>
    <row r="1905">
      <c r="A1905" t="inlineStr">
        <is>
          <t>050168</t>
        </is>
      </c>
      <c r="B1905" t="inlineStr">
        <is>
          <t>Providence St. Jude Medical Center</t>
        </is>
      </c>
      <c r="C1905" t="inlineStr">
        <is>
          <t>CA</t>
        </is>
      </c>
      <c r="D1905" t="inlineStr">
        <is>
          <t>Metropolitan</t>
        </is>
      </c>
      <c r="E1905" s="5" t="n">
        <v>2623</v>
      </c>
      <c r="F1905" s="4" t="n">
        <v>0.7396111322912695</v>
      </c>
      <c r="G1905" s="4" t="n">
        <v>0.6452078406484189</v>
      </c>
      <c r="H1905" s="3" t="n">
        <v>44326773.28593566</v>
      </c>
      <c r="I1905" s="3" t="n">
        <v>-1899797.092431701</v>
      </c>
      <c r="J1905" s="4" t="n">
        <v>-0.0428589078698964</v>
      </c>
      <c r="K1905">
        <f>IF(AND(I1905&gt;0,J1905&gt;=Assumptions!$B$4),1,0)</f>
        <v/>
      </c>
      <c r="L1905" s="3">
        <f>I1905*K1905</f>
        <v/>
      </c>
      <c r="M1905">
        <f>SUM($K$2:K1905)</f>
        <v/>
      </c>
    </row>
    <row r="1906">
      <c r="A1906" t="inlineStr">
        <is>
          <t>450324</t>
        </is>
      </c>
      <c r="B1906" t="inlineStr">
        <is>
          <t>Texoma Medical Center</t>
        </is>
      </c>
      <c r="C1906" t="inlineStr">
        <is>
          <t>TX</t>
        </is>
      </c>
      <c r="D1906" t="inlineStr">
        <is>
          <t>Metropolitan</t>
        </is>
      </c>
      <c r="E1906" s="5" t="n">
        <v>4248</v>
      </c>
      <c r="F1906" s="4" t="n">
        <v>0.6598399246704332</v>
      </c>
      <c r="G1906" s="4" t="n">
        <v>0.5971811937671018</v>
      </c>
      <c r="H1906" s="3" t="n">
        <v>65981487.1199229</v>
      </c>
      <c r="I1906" s="3" t="n">
        <v>-1913940.945083789</v>
      </c>
      <c r="J1906" s="4" t="n">
        <v>-0.0290072417071345</v>
      </c>
      <c r="K1906">
        <f>IF(AND(I1906&gt;0,J1906&gt;=Assumptions!$B$4),1,0)</f>
        <v/>
      </c>
      <c r="L1906" s="3">
        <f>I1906*K1906</f>
        <v/>
      </c>
      <c r="M1906">
        <f>SUM($K$2:K1906)</f>
        <v/>
      </c>
    </row>
    <row r="1907">
      <c r="A1907" t="inlineStr">
        <is>
          <t>050116</t>
        </is>
      </c>
      <c r="B1907" t="inlineStr">
        <is>
          <t>Northridge Hospital Medical Center</t>
        </is>
      </c>
      <c r="C1907" t="inlineStr">
        <is>
          <t>CA</t>
        </is>
      </c>
      <c r="D1907" t="inlineStr">
        <is>
          <t>Metropolitan</t>
        </is>
      </c>
      <c r="E1907" s="5" t="n">
        <v>2127</v>
      </c>
      <c r="F1907" s="4" t="n">
        <v>0.77103902209685</v>
      </c>
      <c r="G1907" s="4" t="n">
        <v>0.6582936829219618</v>
      </c>
      <c r="H1907" s="3" t="n">
        <v>33286490.88447732</v>
      </c>
      <c r="I1907" s="3" t="n">
        <v>-1920938.731972586</v>
      </c>
      <c r="J1907" s="4" t="n">
        <v>-0.0577092592499255</v>
      </c>
      <c r="K1907">
        <f>IF(AND(I1907&gt;0,J1907&gt;=Assumptions!$B$4),1,0)</f>
        <v/>
      </c>
      <c r="L1907" s="3">
        <f>I1907*K1907</f>
        <v/>
      </c>
      <c r="M1907">
        <f>SUM($K$2:K1907)</f>
        <v/>
      </c>
    </row>
    <row r="1908">
      <c r="A1908" t="inlineStr">
        <is>
          <t>260105</t>
        </is>
      </c>
      <c r="B1908" t="inlineStr">
        <is>
          <t>Ssm Health Saint Louis University Hospital</t>
        </is>
      </c>
      <c r="C1908" t="inlineStr">
        <is>
          <t>MO</t>
        </is>
      </c>
      <c r="D1908" t="inlineStr">
        <is>
          <t>Metropolitan</t>
        </is>
      </c>
      <c r="E1908" s="5" t="n">
        <v>1585</v>
      </c>
      <c r="F1908" s="4" t="n">
        <v>0.6555205047318612</v>
      </c>
      <c r="G1908" s="4" t="n">
        <v>0.5677772087493621</v>
      </c>
      <c r="H1908" s="3" t="n">
        <v>34611501.49551953</v>
      </c>
      <c r="I1908" s="3" t="n">
        <v>-1932907.585860901</v>
      </c>
      <c r="J1908" s="4" t="n">
        <v>-0.0558458172093781</v>
      </c>
      <c r="K1908">
        <f>IF(AND(I1908&gt;0,J1908&gt;=Assumptions!$B$4),1,0)</f>
        <v/>
      </c>
      <c r="L1908" s="3">
        <f>I1908*K1908</f>
        <v/>
      </c>
      <c r="M1908">
        <f>SUM($K$2:K1908)</f>
        <v/>
      </c>
    </row>
    <row r="1909">
      <c r="A1909" t="inlineStr">
        <is>
          <t>050280</t>
        </is>
      </c>
      <c r="B1909" t="inlineStr">
        <is>
          <t>Mercy Medical Center Redding</t>
        </is>
      </c>
      <c r="C1909" t="inlineStr">
        <is>
          <t>CA</t>
        </is>
      </c>
      <c r="D1909" t="inlineStr">
        <is>
          <t>Metropolitan</t>
        </is>
      </c>
      <c r="E1909" s="5" t="n">
        <v>3625</v>
      </c>
      <c r="F1909" s="4" t="n">
        <v>0.6532413793103449</v>
      </c>
      <c r="G1909" s="4" t="n">
        <v>0.5876196111137545</v>
      </c>
      <c r="H1909" s="3" t="n">
        <v>61492843.54753604</v>
      </c>
      <c r="I1909" s="3" t="n">
        <v>-1970570.413877413</v>
      </c>
      <c r="J1909" s="4" t="n">
        <v>-0.0320455243276251</v>
      </c>
      <c r="K1909">
        <f>IF(AND(I1909&gt;0,J1909&gt;=Assumptions!$B$4),1,0)</f>
        <v/>
      </c>
      <c r="L1909" s="3">
        <f>I1909*K1909</f>
        <v/>
      </c>
      <c r="M1909">
        <f>SUM($K$2:K1909)</f>
        <v/>
      </c>
    </row>
    <row r="1910">
      <c r="A1910" t="inlineStr">
        <is>
          <t>140223</t>
        </is>
      </c>
      <c r="B1910" t="inlineStr">
        <is>
          <t>Advocate Lutheran General Hospital</t>
        </is>
      </c>
      <c r="C1910" t="inlineStr">
        <is>
          <t>IL</t>
        </is>
      </c>
      <c r="D1910" t="inlineStr">
        <is>
          <t>Metropolitan</t>
        </is>
      </c>
      <c r="E1910" s="5" t="n">
        <v>5477</v>
      </c>
      <c r="F1910" s="4" t="n">
        <v>0.6087274055139675</v>
      </c>
      <c r="G1910" s="4" t="n">
        <v>0.5772490184221574</v>
      </c>
      <c r="H1910" s="3" t="n">
        <v>91380850.78244025</v>
      </c>
      <c r="I1910" s="3" t="n">
        <v>-1974619.814188853</v>
      </c>
      <c r="J1910" s="4" t="n">
        <v>-0.0216086827522544</v>
      </c>
      <c r="K1910">
        <f>IF(AND(I1910&gt;0,J1910&gt;=Assumptions!$B$4),1,0)</f>
        <v/>
      </c>
      <c r="L1910" s="3">
        <f>I1910*K1910</f>
        <v/>
      </c>
      <c r="M1910">
        <f>SUM($K$2:K1910)</f>
        <v/>
      </c>
    </row>
    <row r="1911">
      <c r="A1911" t="inlineStr">
        <is>
          <t>100258</t>
        </is>
      </c>
      <c r="B1911" t="inlineStr">
        <is>
          <t>Delray Medical Center</t>
        </is>
      </c>
      <c r="C1911" t="inlineStr">
        <is>
          <t>FL</t>
        </is>
      </c>
      <c r="D1911" t="inlineStr">
        <is>
          <t>Metropolitan</t>
        </is>
      </c>
      <c r="E1911" s="5" t="n">
        <v>5292</v>
      </c>
      <c r="F1911" s="4" t="n">
        <v>0.5432728647014361</v>
      </c>
      <c r="G1911" s="4" t="n">
        <v>0.5128525662526582</v>
      </c>
      <c r="H1911" s="3" t="n">
        <v>92489343.22190712</v>
      </c>
      <c r="I1911" s="3" t="n">
        <v>-2005654.901792586</v>
      </c>
      <c r="J1911" s="4" t="n">
        <v>-0.0216852540187302</v>
      </c>
      <c r="K1911">
        <f>IF(AND(I1911&gt;0,J1911&gt;=Assumptions!$B$4),1,0)</f>
        <v/>
      </c>
      <c r="L1911" s="3">
        <f>I1911*K1911</f>
        <v/>
      </c>
      <c r="M1911">
        <f>SUM($K$2:K1911)</f>
        <v/>
      </c>
    </row>
    <row r="1912">
      <c r="A1912" t="inlineStr">
        <is>
          <t>450844</t>
        </is>
      </c>
      <c r="B1912" t="inlineStr">
        <is>
          <t>Houston Methodist Willowbrook Hospital</t>
        </is>
      </c>
      <c r="C1912" t="inlineStr">
        <is>
          <t>TX</t>
        </is>
      </c>
      <c r="D1912" t="inlineStr">
        <is>
          <t>Metropolitan</t>
        </is>
      </c>
      <c r="E1912" s="5" t="n">
        <v>3171</v>
      </c>
      <c r="F1912" s="4" t="n">
        <v>0.6877956480605487</v>
      </c>
      <c r="G1912" s="4" t="n">
        <v>0.6111381602615066</v>
      </c>
      <c r="H1912" s="3" t="n">
        <v>49405384.01619053</v>
      </c>
      <c r="I1912" s="3" t="n">
        <v>-2041246.623067603</v>
      </c>
      <c r="J1912" s="4" t="n">
        <v>-0.0413162788573543</v>
      </c>
      <c r="K1912">
        <f>IF(AND(I1912&gt;0,J1912&gt;=Assumptions!$B$4),1,0)</f>
        <v/>
      </c>
      <c r="L1912" s="3">
        <f>I1912*K1912</f>
        <v/>
      </c>
      <c r="M1912">
        <f>SUM($K$2:K1912)</f>
        <v/>
      </c>
    </row>
    <row r="1913">
      <c r="A1913" t="inlineStr">
        <is>
          <t>230020</t>
        </is>
      </c>
      <c r="B1913" t="inlineStr">
        <is>
          <t>Beaumont Hospital - Dearborn</t>
        </is>
      </c>
      <c r="C1913" t="inlineStr">
        <is>
          <t>MI</t>
        </is>
      </c>
      <c r="D1913" t="inlineStr">
        <is>
          <t>Metropolitan</t>
        </is>
      </c>
      <c r="E1913" s="5" t="n">
        <v>2721</v>
      </c>
      <c r="F1913" s="4" t="n">
        <v>0.6221977214259463</v>
      </c>
      <c r="G1913" s="4" t="n">
        <v>0.5651885708951783</v>
      </c>
      <c r="H1913" s="3" t="n">
        <v>42653054.07656117</v>
      </c>
      <c r="I1913" s="3" t="n">
        <v>-2043225.936708458</v>
      </c>
      <c r="J1913" s="4" t="n">
        <v>-0.0479033912329212</v>
      </c>
      <c r="K1913">
        <f>IF(AND(I1913&gt;0,J1913&gt;=Assumptions!$B$4),1,0)</f>
        <v/>
      </c>
      <c r="L1913" s="3">
        <f>I1913*K1913</f>
        <v/>
      </c>
      <c r="M1913">
        <f>SUM($K$2:K1913)</f>
        <v/>
      </c>
    </row>
    <row r="1914">
      <c r="A1914" t="inlineStr">
        <is>
          <t>500050</t>
        </is>
      </c>
      <c r="B1914" t="inlineStr">
        <is>
          <t>Peacehealth Southwest Medical Cente</t>
        </is>
      </c>
      <c r="C1914" t="inlineStr">
        <is>
          <t>WA</t>
        </is>
      </c>
      <c r="D1914" t="inlineStr">
        <is>
          <t>Metropolitan</t>
        </is>
      </c>
      <c r="E1914" s="5" t="n">
        <v>2480</v>
      </c>
      <c r="F1914" s="4" t="n">
        <v>0.6532258064516129</v>
      </c>
      <c r="G1914" s="4" t="n">
        <v>0.5667446817438768</v>
      </c>
      <c r="H1914" s="3" t="n">
        <v>46737052.65132849</v>
      </c>
      <c r="I1914" s="3" t="n">
        <v>-2051092.53057278</v>
      </c>
      <c r="J1914" s="4" t="n">
        <v>-0.0438857911275343</v>
      </c>
      <c r="K1914">
        <f>IF(AND(I1914&gt;0,J1914&gt;=Assumptions!$B$4),1,0)</f>
        <v/>
      </c>
      <c r="L1914" s="3">
        <f>I1914*K1914</f>
        <v/>
      </c>
      <c r="M1914">
        <f>SUM($K$2:K1914)</f>
        <v/>
      </c>
    </row>
    <row r="1915">
      <c r="A1915" t="inlineStr">
        <is>
          <t>420079</t>
        </is>
      </c>
      <c r="B1915" t="inlineStr">
        <is>
          <t>Trident Medical Center</t>
        </is>
      </c>
      <c r="C1915" t="inlineStr">
        <is>
          <t>SC</t>
        </is>
      </c>
      <c r="D1915" t="inlineStr">
        <is>
          <t>Metropolitan</t>
        </is>
      </c>
      <c r="E1915" s="5" t="n">
        <v>4028</v>
      </c>
      <c r="F1915" s="4" t="n">
        <v>0.5928500496524329</v>
      </c>
      <c r="G1915" s="4" t="n">
        <v>0.5295263531838214</v>
      </c>
      <c r="H1915" s="3" t="n">
        <v>70366052.33398576</v>
      </c>
      <c r="I1915" s="3" t="n">
        <v>-2051999.641805142</v>
      </c>
      <c r="J1915" s="4" t="n">
        <v>-0.0291617843227231</v>
      </c>
      <c r="K1915">
        <f>IF(AND(I1915&gt;0,J1915&gt;=Assumptions!$B$4),1,0)</f>
        <v/>
      </c>
      <c r="L1915" s="3">
        <f>I1915*K1915</f>
        <v/>
      </c>
      <c r="M1915">
        <f>SUM($K$2:K1915)</f>
        <v/>
      </c>
    </row>
    <row r="1916">
      <c r="A1916" t="inlineStr">
        <is>
          <t>330023</t>
        </is>
      </c>
      <c r="B1916" t="inlineStr">
        <is>
          <t>Vassar Brothers Medical Center</t>
        </is>
      </c>
      <c r="C1916" t="inlineStr">
        <is>
          <t>NY</t>
        </is>
      </c>
      <c r="D1916" t="inlineStr">
        <is>
          <t>Metropolitan</t>
        </is>
      </c>
      <c r="E1916" s="5" t="n">
        <v>4962</v>
      </c>
      <c r="F1916" s="4" t="n">
        <v>0.6374445787988714</v>
      </c>
      <c r="G1916" s="4" t="n">
        <v>0.5860509426622142</v>
      </c>
      <c r="H1916" s="3" t="n">
        <v>86790516.86215661</v>
      </c>
      <c r="I1916" s="3" t="n">
        <v>-2053696.730216384</v>
      </c>
      <c r="J1916" s="4" t="n">
        <v>-0.0236626857917913</v>
      </c>
      <c r="K1916">
        <f>IF(AND(I1916&gt;0,J1916&gt;=Assumptions!$B$4),1,0)</f>
        <v/>
      </c>
      <c r="L1916" s="3">
        <f>I1916*K1916</f>
        <v/>
      </c>
      <c r="M1916">
        <f>SUM($K$2:K1916)</f>
        <v/>
      </c>
    </row>
    <row r="1917">
      <c r="A1917" t="inlineStr">
        <is>
          <t>210002</t>
        </is>
      </c>
      <c r="B1917" t="inlineStr">
        <is>
          <t>University Of Maryland Medical Center</t>
        </is>
      </c>
      <c r="C1917" t="inlineStr">
        <is>
          <t>MD</t>
        </is>
      </c>
      <c r="D1917" t="inlineStr">
        <is>
          <t>Metropolitan</t>
        </is>
      </c>
      <c r="E1917" s="5" t="n">
        <v>4043</v>
      </c>
      <c r="F1917" s="4" t="n">
        <v>0.5246104377937175</v>
      </c>
      <c r="G1917" s="4" t="n">
        <v>0.4972367346200289</v>
      </c>
      <c r="H1917" s="3" t="n">
        <v>105526849.0325089</v>
      </c>
      <c r="I1917" s="3" t="n">
        <v>-2084947.646715462</v>
      </c>
      <c r="J1917" s="4" t="n">
        <v>-0.0197575087840741</v>
      </c>
      <c r="K1917">
        <f>IF(AND(I1917&gt;0,J1917&gt;=Assumptions!$B$4),1,0)</f>
        <v/>
      </c>
      <c r="L1917" s="3">
        <f>I1917*K1917</f>
        <v/>
      </c>
      <c r="M1917">
        <f>SUM($K$2:K1917)</f>
        <v/>
      </c>
    </row>
    <row r="1918">
      <c r="A1918" t="inlineStr">
        <is>
          <t>520177</t>
        </is>
      </c>
      <c r="B1918" t="inlineStr">
        <is>
          <t>Froedtert Memorial Lutheran Hospital</t>
        </is>
      </c>
      <c r="C1918" t="inlineStr">
        <is>
          <t>WI</t>
        </is>
      </c>
      <c r="D1918" t="inlineStr">
        <is>
          <t>Metropolitan</t>
        </is>
      </c>
      <c r="E1918" s="5" t="n">
        <v>5324</v>
      </c>
      <c r="F1918" s="4" t="n">
        <v>0.5246055597295267</v>
      </c>
      <c r="G1918" s="4" t="n">
        <v>0.5204083359352174</v>
      </c>
      <c r="H1918" s="3" t="n">
        <v>99612229.02987596</v>
      </c>
      <c r="I1918" s="3" t="n">
        <v>-2151641.315801919</v>
      </c>
      <c r="J1918" s="4" t="n">
        <v>-0.0216001723559121</v>
      </c>
      <c r="K1918">
        <f>IF(AND(I1918&gt;0,J1918&gt;=Assumptions!$B$4),1,0)</f>
        <v/>
      </c>
      <c r="L1918" s="3">
        <f>I1918*K1918</f>
        <v/>
      </c>
      <c r="M1918">
        <f>SUM($K$2:K1918)</f>
        <v/>
      </c>
    </row>
    <row r="1919">
      <c r="A1919" t="inlineStr">
        <is>
          <t>330195</t>
        </is>
      </c>
      <c r="B1919" t="inlineStr">
        <is>
          <t>Long Island Jewish Medical Center</t>
        </is>
      </c>
      <c r="C1919" t="inlineStr">
        <is>
          <t>NY</t>
        </is>
      </c>
      <c r="D1919" t="inlineStr">
        <is>
          <t>Metropolitan</t>
        </is>
      </c>
      <c r="E1919" s="5" t="n">
        <v>8921</v>
      </c>
      <c r="F1919" s="4" t="n">
        <v>0.5844636251541308</v>
      </c>
      <c r="G1919" s="4" t="n">
        <v>0.5526658220555487</v>
      </c>
      <c r="H1919" s="3" t="n">
        <v>141276839.4747717</v>
      </c>
      <c r="I1919" s="3" t="n">
        <v>-2159082.266005188</v>
      </c>
      <c r="J1919" s="4" t="n">
        <v>-0.0152826342522387</v>
      </c>
      <c r="K1919">
        <f>IF(AND(I1919&gt;0,J1919&gt;=Assumptions!$B$4),1,0)</f>
        <v/>
      </c>
      <c r="L1919" s="3">
        <f>I1919*K1919</f>
        <v/>
      </c>
      <c r="M1919">
        <f>SUM($K$2:K1919)</f>
        <v/>
      </c>
    </row>
    <row r="1920">
      <c r="A1920" t="inlineStr">
        <is>
          <t>290045</t>
        </is>
      </c>
      <c r="B1920" t="inlineStr">
        <is>
          <t>Saint Rose Dominican Hospitals - Siena Campus</t>
        </is>
      </c>
      <c r="C1920" t="inlineStr">
        <is>
          <t>NV</t>
        </is>
      </c>
      <c r="D1920" t="inlineStr">
        <is>
          <t>Metropolitan</t>
        </is>
      </c>
      <c r="E1920" s="5" t="n">
        <v>3653</v>
      </c>
      <c r="F1920" s="4" t="n">
        <v>0.6715028743498495</v>
      </c>
      <c r="G1920" s="4" t="n">
        <v>0.5978412235643108</v>
      </c>
      <c r="H1920" s="3" t="n">
        <v>58423203.4369309</v>
      </c>
      <c r="I1920" s="3" t="n">
        <v>-2193075.75324814</v>
      </c>
      <c r="J1920" s="4" t="n">
        <v>-0.0375377525406598</v>
      </c>
      <c r="K1920">
        <f>IF(AND(I1920&gt;0,J1920&gt;=Assumptions!$B$4),1,0)</f>
        <v/>
      </c>
      <c r="L1920" s="3">
        <f>I1920*K1920</f>
        <v/>
      </c>
      <c r="M1920">
        <f>SUM($K$2:K1920)</f>
        <v/>
      </c>
    </row>
    <row r="1921">
      <c r="A1921" t="inlineStr">
        <is>
          <t>290001</t>
        </is>
      </c>
      <c r="B1921" t="inlineStr">
        <is>
          <t>Renown Regional Medical Center</t>
        </is>
      </c>
      <c r="C1921" t="inlineStr">
        <is>
          <t>NV</t>
        </is>
      </c>
      <c r="D1921" t="inlineStr">
        <is>
          <t>Metropolitan</t>
        </is>
      </c>
      <c r="E1921" s="5" t="n">
        <v>6262</v>
      </c>
      <c r="F1921" s="4" t="n">
        <v>0.5740977323538805</v>
      </c>
      <c r="G1921" s="4" t="n">
        <v>0.5239524458681807</v>
      </c>
      <c r="H1921" s="3" t="n">
        <v>112290408.9532098</v>
      </c>
      <c r="I1921" s="3" t="n">
        <v>-2202886.506921738</v>
      </c>
      <c r="J1921" s="4" t="n">
        <v>-0.0196177619037762</v>
      </c>
      <c r="K1921">
        <f>IF(AND(I1921&gt;0,J1921&gt;=Assumptions!$B$4),1,0)</f>
        <v/>
      </c>
      <c r="L1921" s="3">
        <f>I1921*K1921</f>
        <v/>
      </c>
      <c r="M1921">
        <f>SUM($K$2:K1921)</f>
        <v/>
      </c>
    </row>
    <row r="1922">
      <c r="A1922" t="inlineStr">
        <is>
          <t>240106</t>
        </is>
      </c>
      <c r="B1922" t="inlineStr">
        <is>
          <t>Regions Hospital</t>
        </is>
      </c>
      <c r="C1922" t="inlineStr">
        <is>
          <t>MN</t>
        </is>
      </c>
      <c r="D1922" t="inlineStr">
        <is>
          <t>Metropolitan</t>
        </is>
      </c>
      <c r="E1922" s="5" t="n">
        <v>3618</v>
      </c>
      <c r="F1922" s="4" t="n">
        <v>0.5959093421779988</v>
      </c>
      <c r="G1922" s="4" t="n">
        <v>0.5346488573940171</v>
      </c>
      <c r="H1922" s="3" t="n">
        <v>64739567.39012665</v>
      </c>
      <c r="I1922" s="3" t="n">
        <v>-2203397.8219717</v>
      </c>
      <c r="J1922" s="4" t="n">
        <v>-0.0340347937250463</v>
      </c>
      <c r="K1922">
        <f>IF(AND(I1922&gt;0,J1922&gt;=Assumptions!$B$4),1,0)</f>
        <v/>
      </c>
      <c r="L1922" s="3">
        <f>I1922*K1922</f>
        <v/>
      </c>
      <c r="M1922">
        <f>SUM($K$2:K1922)</f>
        <v/>
      </c>
    </row>
    <row r="1923">
      <c r="A1923" t="inlineStr">
        <is>
          <t>290009</t>
        </is>
      </c>
      <c r="B1923" t="inlineStr">
        <is>
          <t>Saint Mary's Regional Medical Center</t>
        </is>
      </c>
      <c r="C1923" t="inlineStr">
        <is>
          <t>NV</t>
        </is>
      </c>
      <c r="D1923" t="inlineStr">
        <is>
          <t>Metropolitan</t>
        </is>
      </c>
      <c r="E1923" s="5" t="n">
        <v>1192</v>
      </c>
      <c r="F1923" s="4" t="n">
        <v>0.8431208053691275</v>
      </c>
      <c r="G1923" s="4" t="n">
        <v>0.6293601861338872</v>
      </c>
      <c r="H1923" s="3" t="n">
        <v>21243433.15236836</v>
      </c>
      <c r="I1923" s="3" t="n">
        <v>-2243686.65845618</v>
      </c>
      <c r="J1923" s="4" t="n">
        <v>-0.1056178934150311</v>
      </c>
      <c r="K1923">
        <f>IF(AND(I1923&gt;0,J1923&gt;=Assumptions!$B$4),1,0)</f>
        <v/>
      </c>
      <c r="L1923" s="3">
        <f>I1923*K1923</f>
        <v/>
      </c>
      <c r="M1923">
        <f>SUM($K$2:K1923)</f>
        <v/>
      </c>
    </row>
    <row r="1924">
      <c r="A1924" t="inlineStr">
        <is>
          <t>290003</t>
        </is>
      </c>
      <c r="B1924" t="inlineStr">
        <is>
          <t>Sunrise Hospital And Medical Center</t>
        </is>
      </c>
      <c r="C1924" t="inlineStr">
        <is>
          <t>NV</t>
        </is>
      </c>
      <c r="D1924" t="inlineStr">
        <is>
          <t>Metropolitan</t>
        </is>
      </c>
      <c r="E1924" s="5" t="n">
        <v>4000</v>
      </c>
      <c r="F1924" s="4" t="n">
        <v>0.608</v>
      </c>
      <c r="G1924" s="4" t="n">
        <v>0.5714621740625062</v>
      </c>
      <c r="H1924" s="3" t="n">
        <v>70505600.69404444</v>
      </c>
      <c r="I1924" s="3" t="n">
        <v>-2253506.642543241</v>
      </c>
      <c r="J1924" s="4" t="n">
        <v>-0.0319620940799046</v>
      </c>
      <c r="K1924">
        <f>IF(AND(I1924&gt;0,J1924&gt;=Assumptions!$B$4),1,0)</f>
        <v/>
      </c>
      <c r="L1924" s="3">
        <f>I1924*K1924</f>
        <v/>
      </c>
      <c r="M1924">
        <f>SUM($K$2:K1924)</f>
        <v/>
      </c>
    </row>
    <row r="1925">
      <c r="A1925" t="inlineStr">
        <is>
          <t>500129</t>
        </is>
      </c>
      <c r="B1925" t="inlineStr">
        <is>
          <t>Tacoma General Allenmore Hospital</t>
        </is>
      </c>
      <c r="C1925" t="inlineStr">
        <is>
          <t>WA</t>
        </is>
      </c>
      <c r="D1925" t="inlineStr">
        <is>
          <t>Metropolitan</t>
        </is>
      </c>
      <c r="E1925" s="5" t="n">
        <v>3104</v>
      </c>
      <c r="F1925" s="4" t="n">
        <v>0.6333762886597938</v>
      </c>
      <c r="G1925" s="4" t="n">
        <v>0.5590417775476774</v>
      </c>
      <c r="H1925" s="3" t="n">
        <v>59360210.81483482</v>
      </c>
      <c r="I1925" s="3" t="n">
        <v>-2263218.851427801</v>
      </c>
      <c r="J1925" s="4" t="n">
        <v>-0.0381268668079291</v>
      </c>
      <c r="K1925">
        <f>IF(AND(I1925&gt;0,J1925&gt;=Assumptions!$B$4),1,0)</f>
        <v/>
      </c>
      <c r="L1925" s="3">
        <f>I1925*K1925</f>
        <v/>
      </c>
      <c r="M1925">
        <f>SUM($K$2:K1925)</f>
        <v/>
      </c>
    </row>
    <row r="1926">
      <c r="A1926" t="inlineStr">
        <is>
          <t>450820</t>
        </is>
      </c>
      <c r="B1926" t="inlineStr">
        <is>
          <t>Houston Methodist Sugarland Hospital</t>
        </is>
      </c>
      <c r="C1926" t="inlineStr">
        <is>
          <t>TX</t>
        </is>
      </c>
      <c r="D1926" t="inlineStr">
        <is>
          <t>Metropolitan</t>
        </is>
      </c>
      <c r="E1926" s="5" t="n">
        <v>4223</v>
      </c>
      <c r="F1926" s="4" t="n">
        <v>0.6701397111058489</v>
      </c>
      <c r="G1926" s="4" t="n">
        <v>0.6056830717816979</v>
      </c>
      <c r="H1926" s="3" t="n">
        <v>67397886.82802716</v>
      </c>
      <c r="I1926" s="3" t="n">
        <v>-2281014.377317384</v>
      </c>
      <c r="J1926" s="4" t="n">
        <v>-0.0338440043845533</v>
      </c>
      <c r="K1926">
        <f>IF(AND(I1926&gt;0,J1926&gt;=Assumptions!$B$4),1,0)</f>
        <v/>
      </c>
      <c r="L1926" s="3">
        <f>I1926*K1926</f>
        <v/>
      </c>
      <c r="M1926">
        <f>SUM($K$2:K1926)</f>
        <v/>
      </c>
    </row>
    <row r="1927">
      <c r="A1927" t="inlineStr">
        <is>
          <t>450107</t>
        </is>
      </c>
      <c r="B1927" t="inlineStr">
        <is>
          <t>Las Palmas Medical Center A Campus Of Lpds Healthc</t>
        </is>
      </c>
      <c r="C1927" t="inlineStr">
        <is>
          <t>TX</t>
        </is>
      </c>
      <c r="D1927" t="inlineStr">
        <is>
          <t>Metropolitan</t>
        </is>
      </c>
      <c r="E1927" s="5" t="n">
        <v>1726</v>
      </c>
      <c r="F1927" s="4" t="n">
        <v>0.7346465816917729</v>
      </c>
      <c r="G1927" s="4" t="n">
        <v>0.6092875228409725</v>
      </c>
      <c r="H1927" s="3" t="n">
        <v>29233223.04069049</v>
      </c>
      <c r="I1927" s="3" t="n">
        <v>-2284530.762830835</v>
      </c>
      <c r="J1927" s="4" t="n">
        <v>-0.07814843952207851</v>
      </c>
      <c r="K1927">
        <f>IF(AND(I1927&gt;0,J1927&gt;=Assumptions!$B$4),1,0)</f>
        <v/>
      </c>
      <c r="L1927" s="3">
        <f>I1927*K1927</f>
        <v/>
      </c>
      <c r="M1927">
        <f>SUM($K$2:K1927)</f>
        <v/>
      </c>
    </row>
    <row r="1928">
      <c r="A1928" t="inlineStr">
        <is>
          <t>360085</t>
        </is>
      </c>
      <c r="B1928" t="inlineStr">
        <is>
          <t>Ohio State University Hospitals</t>
        </is>
      </c>
      <c r="C1928" t="inlineStr">
        <is>
          <t>OH</t>
        </is>
      </c>
      <c r="D1928" t="inlineStr">
        <is>
          <t>Metropolitan</t>
        </is>
      </c>
      <c r="E1928" s="5" t="n">
        <v>5596</v>
      </c>
      <c r="F1928" s="4" t="n">
        <v>0.5067905646890636</v>
      </c>
      <c r="G1928" s="4" t="n">
        <v>0.5016501518836072</v>
      </c>
      <c r="H1928" s="3" t="n">
        <v>103334215.2443567</v>
      </c>
      <c r="I1928" s="3" t="n">
        <v>-2289713.883310363</v>
      </c>
      <c r="J1928" s="4" t="n">
        <v>-0.022158332338382</v>
      </c>
      <c r="K1928">
        <f>IF(AND(I1928&gt;0,J1928&gt;=Assumptions!$B$4),1,0)</f>
        <v/>
      </c>
      <c r="L1928" s="3">
        <f>I1928*K1928</f>
        <v/>
      </c>
      <c r="M1928">
        <f>SUM($K$2:K1928)</f>
        <v/>
      </c>
    </row>
    <row r="1929">
      <c r="A1929" t="inlineStr">
        <is>
          <t>370001</t>
        </is>
      </c>
      <c r="B1929" t="inlineStr">
        <is>
          <t>Hillcrest Medical Center</t>
        </is>
      </c>
      <c r="C1929" t="inlineStr">
        <is>
          <t>OK</t>
        </is>
      </c>
      <c r="D1929" t="inlineStr">
        <is>
          <t>Metropolitan</t>
        </is>
      </c>
      <c r="E1929" s="5" t="n">
        <v>3118</v>
      </c>
      <c r="F1929" s="4" t="n">
        <v>0.6167415009621552</v>
      </c>
      <c r="G1929" s="4" t="n">
        <v>0.5590437123857286</v>
      </c>
      <c r="H1929" s="3" t="n">
        <v>57927864.02896833</v>
      </c>
      <c r="I1929" s="3" t="n">
        <v>-2291246.362388887</v>
      </c>
      <c r="J1929" s="4" t="n">
        <v>-0.0395534411771697</v>
      </c>
      <c r="K1929">
        <f>IF(AND(I1929&gt;0,J1929&gt;=Assumptions!$B$4),1,0)</f>
        <v/>
      </c>
      <c r="L1929" s="3">
        <f>I1929*K1929</f>
        <v/>
      </c>
      <c r="M1929">
        <f>SUM($K$2:K1929)</f>
        <v/>
      </c>
    </row>
    <row r="1930">
      <c r="A1930" t="inlineStr">
        <is>
          <t>090004</t>
        </is>
      </c>
      <c r="B1930" t="inlineStr">
        <is>
          <t>Medstar Georgetown University Hospital</t>
        </is>
      </c>
      <c r="C1930" t="inlineStr">
        <is>
          <t>DC</t>
        </is>
      </c>
      <c r="D1930" t="inlineStr">
        <is>
          <t>Metropolitan</t>
        </is>
      </c>
      <c r="E1930" s="5" t="n">
        <v>2954</v>
      </c>
      <c r="F1930" s="4" t="n">
        <v>0.549424509140149</v>
      </c>
      <c r="G1930" s="4" t="n">
        <v>0.4898816265789834</v>
      </c>
      <c r="H1930" s="3" t="n">
        <v>67706103.87463863</v>
      </c>
      <c r="I1930" s="3" t="n">
        <v>-2309342.691594929</v>
      </c>
      <c r="J1930" s="4" t="n">
        <v>-0.0341083382359557</v>
      </c>
      <c r="K1930">
        <f>IF(AND(I1930&gt;0,J1930&gt;=Assumptions!$B$4),1,0)</f>
        <v/>
      </c>
      <c r="L1930" s="3">
        <f>I1930*K1930</f>
        <v/>
      </c>
      <c r="M1930">
        <f>SUM($K$2:K1930)</f>
        <v/>
      </c>
    </row>
    <row r="1931">
      <c r="A1931" t="inlineStr">
        <is>
          <t>180010</t>
        </is>
      </c>
      <c r="B1931" t="inlineStr">
        <is>
          <t>Saint Joseph Hospital</t>
        </is>
      </c>
      <c r="C1931" t="inlineStr">
        <is>
          <t>KY</t>
        </is>
      </c>
      <c r="D1931" t="inlineStr">
        <is>
          <t>Metropolitan</t>
        </is>
      </c>
      <c r="E1931" s="5" t="n">
        <v>2069</v>
      </c>
      <c r="F1931" s="4" t="n">
        <v>0.6486225229579508</v>
      </c>
      <c r="G1931" s="4" t="n">
        <v>0.5632373756435685</v>
      </c>
      <c r="H1931" s="3" t="n">
        <v>42477165.84214934</v>
      </c>
      <c r="I1931" s="3" t="n">
        <v>-2316951.073687002</v>
      </c>
      <c r="J1931" s="4" t="n">
        <v>-0.0545458019091267</v>
      </c>
      <c r="K1931">
        <f>IF(AND(I1931&gt;0,J1931&gt;=Assumptions!$B$4),1,0)</f>
        <v/>
      </c>
      <c r="L1931" s="3">
        <f>I1931*K1931</f>
        <v/>
      </c>
      <c r="M1931">
        <f>SUM($K$2:K1931)</f>
        <v/>
      </c>
    </row>
    <row r="1932">
      <c r="A1932" t="inlineStr">
        <is>
          <t>140062</t>
        </is>
      </c>
      <c r="B1932" t="inlineStr">
        <is>
          <t>Palos Community Hospital</t>
        </is>
      </c>
      <c r="C1932" t="inlineStr">
        <is>
          <t>IL</t>
        </is>
      </c>
      <c r="D1932" t="inlineStr">
        <is>
          <t>Metropolitan</t>
        </is>
      </c>
      <c r="E1932" s="5" t="n">
        <v>6542</v>
      </c>
      <c r="F1932" s="4" t="n">
        <v>0.5923265056557627</v>
      </c>
      <c r="G1932" s="4" t="n">
        <v>0.5657023470121428</v>
      </c>
      <c r="H1932" s="3" t="n">
        <v>95992131.03340322</v>
      </c>
      <c r="I1932" s="3" t="n">
        <v>-2322046.478893116</v>
      </c>
      <c r="J1932" s="4" t="n">
        <v>-0.0241899669680746</v>
      </c>
      <c r="K1932">
        <f>IF(AND(I1932&gt;0,J1932&gt;=Assumptions!$B$4),1,0)</f>
        <v/>
      </c>
      <c r="L1932" s="3">
        <f>I1932*K1932</f>
        <v/>
      </c>
      <c r="M1932">
        <f>SUM($K$2:K1932)</f>
        <v/>
      </c>
    </row>
    <row r="1933">
      <c r="A1933" t="inlineStr">
        <is>
          <t>230195</t>
        </is>
      </c>
      <c r="B1933" t="inlineStr">
        <is>
          <t>Ascension Macomb Oakland Hosp-Warren Campus</t>
        </is>
      </c>
      <c r="C1933" t="inlineStr">
        <is>
          <t>MI</t>
        </is>
      </c>
      <c r="D1933" t="inlineStr">
        <is>
          <t>Metropolitan</t>
        </is>
      </c>
      <c r="E1933" s="5" t="n">
        <v>3178</v>
      </c>
      <c r="F1933" s="4" t="n">
        <v>0.6944619257394588</v>
      </c>
      <c r="G1933" s="4" t="n">
        <v>0.6086024636694352</v>
      </c>
      <c r="H1933" s="3" t="n">
        <v>46612563.15067979</v>
      </c>
      <c r="I1933" s="3" t="n">
        <v>-2337588.449013427</v>
      </c>
      <c r="J1933" s="4" t="n">
        <v>-0.0501493222214993</v>
      </c>
      <c r="K1933">
        <f>IF(AND(I1933&gt;0,J1933&gt;=Assumptions!$B$4),1,0)</f>
        <v/>
      </c>
      <c r="L1933" s="3">
        <f>I1933*K1933</f>
        <v/>
      </c>
      <c r="M1933">
        <f>SUM($K$2:K1933)</f>
        <v/>
      </c>
    </row>
    <row r="1934">
      <c r="A1934" t="inlineStr">
        <is>
          <t>450058</t>
        </is>
      </c>
      <c r="B1934" t="inlineStr">
        <is>
          <t>Baptist Medical Center</t>
        </is>
      </c>
      <c r="C1934" t="inlineStr">
        <is>
          <t>TX</t>
        </is>
      </c>
      <c r="D1934" t="inlineStr">
        <is>
          <t>Metropolitan</t>
        </is>
      </c>
      <c r="E1934" s="5" t="n">
        <v>6211</v>
      </c>
      <c r="F1934" s="4" t="n">
        <v>0.6116567380454033</v>
      </c>
      <c r="G1934" s="4" t="n">
        <v>0.5640322621041245</v>
      </c>
      <c r="H1934" s="3" t="n">
        <v>107772491.8999365</v>
      </c>
      <c r="I1934" s="3" t="n">
        <v>-2343644.088408261</v>
      </c>
      <c r="J1934" s="4" t="n">
        <v>-0.0217462178622005</v>
      </c>
      <c r="K1934">
        <f>IF(AND(I1934&gt;0,J1934&gt;=Assumptions!$B$4),1,0)</f>
        <v/>
      </c>
      <c r="L1934" s="3">
        <f>I1934*K1934</f>
        <v/>
      </c>
      <c r="M1934">
        <f>SUM($K$2:K1934)</f>
        <v/>
      </c>
    </row>
    <row r="1935">
      <c r="A1935" t="inlineStr">
        <is>
          <t>330059</t>
        </is>
      </c>
      <c r="B1935" t="inlineStr">
        <is>
          <t>Montefiore Medical Center</t>
        </is>
      </c>
      <c r="C1935" t="inlineStr">
        <is>
          <t>NY</t>
        </is>
      </c>
      <c r="D1935" t="inlineStr">
        <is>
          <t>Metropolitan</t>
        </is>
      </c>
      <c r="E1935" s="5" t="n">
        <v>7787</v>
      </c>
      <c r="F1935" s="4" t="n">
        <v>0.5959933222036727</v>
      </c>
      <c r="G1935" s="4" t="n">
        <v>0.5825909699449706</v>
      </c>
      <c r="H1935" s="3" t="n">
        <v>128538917.367987</v>
      </c>
      <c r="I1935" s="3" t="n">
        <v>-2398312.784676149</v>
      </c>
      <c r="J1935" s="4" t="n">
        <v>-0.0186582619006363</v>
      </c>
      <c r="K1935">
        <f>IF(AND(I1935&gt;0,J1935&gt;=Assumptions!$B$4),1,0)</f>
        <v/>
      </c>
      <c r="L1935" s="3">
        <f>I1935*K1935</f>
        <v/>
      </c>
      <c r="M1935">
        <f>SUM($K$2:K1935)</f>
        <v/>
      </c>
    </row>
    <row r="1936">
      <c r="A1936" t="inlineStr">
        <is>
          <t>450647</t>
        </is>
      </c>
      <c r="B1936" t="inlineStr">
        <is>
          <t>Medical City Dallas</t>
        </is>
      </c>
      <c r="C1936" t="inlineStr">
        <is>
          <t>TX</t>
        </is>
      </c>
      <c r="D1936" t="inlineStr">
        <is>
          <t>Metropolitan</t>
        </is>
      </c>
      <c r="E1936" s="5" t="n">
        <v>2874</v>
      </c>
      <c r="F1936" s="4" t="n">
        <v>0.5601948503827419</v>
      </c>
      <c r="G1936" s="4" t="n">
        <v>0.5135884324779414</v>
      </c>
      <c r="H1936" s="3" t="n">
        <v>59608902.88543488</v>
      </c>
      <c r="I1936" s="3" t="n">
        <v>-2410734.846131846</v>
      </c>
      <c r="J1936" s="4" t="n">
        <v>-0.0404425300489953</v>
      </c>
      <c r="K1936">
        <f>IF(AND(I1936&gt;0,J1936&gt;=Assumptions!$B$4),1,0)</f>
        <v/>
      </c>
      <c r="L1936" s="3">
        <f>I1936*K1936</f>
        <v/>
      </c>
      <c r="M1936">
        <f>SUM($K$2:K1936)</f>
        <v/>
      </c>
    </row>
    <row r="1937">
      <c r="A1937" t="inlineStr">
        <is>
          <t>670122</t>
        </is>
      </c>
      <c r="B1937" t="inlineStr">
        <is>
          <t>Houston Methodist The Woodlands Hospital</t>
        </is>
      </c>
      <c r="C1937" t="inlineStr">
        <is>
          <t>TX</t>
        </is>
      </c>
      <c r="D1937" t="inlineStr">
        <is>
          <t>Metropolitan</t>
        </is>
      </c>
      <c r="E1937" s="5" t="n">
        <v>3320</v>
      </c>
      <c r="F1937" s="4" t="n">
        <v>0.6608433734939759</v>
      </c>
      <c r="G1937" s="4" t="n">
        <v>0.5806109965850137</v>
      </c>
      <c r="H1937" s="3" t="n">
        <v>52226806.65586928</v>
      </c>
      <c r="I1937" s="3" t="n">
        <v>-2425612.207733743</v>
      </c>
      <c r="J1937" s="4" t="n">
        <v>-0.0464438161750245</v>
      </c>
      <c r="K1937">
        <f>IF(AND(I1937&gt;0,J1937&gt;=Assumptions!$B$4),1,0)</f>
        <v/>
      </c>
      <c r="L1937" s="3">
        <f>I1937*K1937</f>
        <v/>
      </c>
      <c r="M1937">
        <f>SUM($K$2:K1937)</f>
        <v/>
      </c>
    </row>
    <row r="1938">
      <c r="A1938" t="inlineStr">
        <is>
          <t>330043</t>
        </is>
      </c>
      <c r="B1938" t="inlineStr">
        <is>
          <t>South Shore University  Hospital</t>
        </is>
      </c>
      <c r="C1938" t="inlineStr">
        <is>
          <t>NY</t>
        </is>
      </c>
      <c r="D1938" t="inlineStr">
        <is>
          <t>Metropolitan</t>
        </is>
      </c>
      <c r="E1938" s="5" t="n">
        <v>3712</v>
      </c>
      <c r="F1938" s="4" t="n">
        <v>0.6422413793103449</v>
      </c>
      <c r="G1938" s="4" t="n">
        <v>0.5822876867884643</v>
      </c>
      <c r="H1938" s="3" t="n">
        <v>67026195.82089404</v>
      </c>
      <c r="I1938" s="3" t="n">
        <v>-2461073.198991708</v>
      </c>
      <c r="J1938" s="4" t="n">
        <v>-0.036718079682877</v>
      </c>
      <c r="K1938">
        <f>IF(AND(I1938&gt;0,J1938&gt;=Assumptions!$B$4),1,0)</f>
        <v/>
      </c>
      <c r="L1938" s="3">
        <f>I1938*K1938</f>
        <v/>
      </c>
      <c r="M1938">
        <f>SUM($K$2:K1938)</f>
        <v/>
      </c>
    </row>
    <row r="1939">
      <c r="A1939" t="inlineStr">
        <is>
          <t>250078</t>
        </is>
      </c>
      <c r="B1939" t="inlineStr">
        <is>
          <t>Forrest General Hospital</t>
        </is>
      </c>
      <c r="C1939" t="inlineStr">
        <is>
          <t>MS</t>
        </is>
      </c>
      <c r="D1939" t="inlineStr">
        <is>
          <t>Metropolitan</t>
        </is>
      </c>
      <c r="E1939" s="5" t="n">
        <v>4728</v>
      </c>
      <c r="F1939" s="4" t="n">
        <v>0.5934856175972927</v>
      </c>
      <c r="G1939" s="4" t="n">
        <v>0.5439461859834593</v>
      </c>
      <c r="H1939" s="3" t="n">
        <v>86760664.62645037</v>
      </c>
      <c r="I1939" s="3" t="n">
        <v>-2488321.214499608</v>
      </c>
      <c r="J1939" s="4" t="n">
        <v>-0.0286802922178284</v>
      </c>
      <c r="K1939">
        <f>IF(AND(I1939&gt;0,J1939&gt;=Assumptions!$B$4),1,0)</f>
        <v/>
      </c>
      <c r="L1939" s="3">
        <f>I1939*K1939</f>
        <v/>
      </c>
      <c r="M1939">
        <f>SUM($K$2:K1939)</f>
        <v/>
      </c>
    </row>
    <row r="1940">
      <c r="A1940" t="inlineStr">
        <is>
          <t>250141</t>
        </is>
      </c>
      <c r="B1940" t="inlineStr">
        <is>
          <t>Baptist Memorial Hospital Desoto</t>
        </is>
      </c>
      <c r="C1940" t="inlineStr">
        <is>
          <t>MS</t>
        </is>
      </c>
      <c r="D1940" t="inlineStr">
        <is>
          <t>Metropolitan</t>
        </is>
      </c>
      <c r="E1940" s="5" t="n">
        <v>3357</v>
      </c>
      <c r="F1940" s="4" t="n">
        <v>0.6851355376824546</v>
      </c>
      <c r="G1940" s="4" t="n">
        <v>0.5819754964967642</v>
      </c>
      <c r="H1940" s="3" t="n">
        <v>49146752.89668276</v>
      </c>
      <c r="I1940" s="3" t="n">
        <v>-2489401.021048821</v>
      </c>
      <c r="J1940" s="4" t="n">
        <v>-0.0506524007045203</v>
      </c>
      <c r="K1940">
        <f>IF(AND(I1940&gt;0,J1940&gt;=Assumptions!$B$4),1,0)</f>
        <v/>
      </c>
      <c r="L1940" s="3">
        <f>I1940*K1940</f>
        <v/>
      </c>
      <c r="M1940">
        <f>SUM($K$2:K1940)</f>
        <v/>
      </c>
    </row>
    <row r="1941">
      <c r="A1941" t="inlineStr">
        <is>
          <t>050696</t>
        </is>
      </c>
      <c r="B1941" t="inlineStr">
        <is>
          <t>Keck Hospital Of Usc</t>
        </is>
      </c>
      <c r="C1941" t="inlineStr">
        <is>
          <t>CA</t>
        </is>
      </c>
      <c r="D1941" t="inlineStr">
        <is>
          <t>Metropolitan</t>
        </is>
      </c>
      <c r="E1941" s="5" t="n">
        <v>2438</v>
      </c>
      <c r="F1941" s="4" t="n">
        <v>0.4725184577522559</v>
      </c>
      <c r="G1941" s="4" t="n">
        <v>0.4470775056557218</v>
      </c>
      <c r="H1941" s="3" t="n">
        <v>66773761.58448086</v>
      </c>
      <c r="I1941" s="3" t="n">
        <v>-2529587.197710775</v>
      </c>
      <c r="J1941" s="4" t="n">
        <v>-0.0378829518913711</v>
      </c>
      <c r="K1941">
        <f>IF(AND(I1941&gt;0,J1941&gt;=Assumptions!$B$4),1,0)</f>
        <v/>
      </c>
      <c r="L1941" s="3">
        <f>I1941*K1941</f>
        <v/>
      </c>
      <c r="M1941">
        <f>SUM($K$2:K1941)</f>
        <v/>
      </c>
    </row>
    <row r="1942">
      <c r="A1942" t="inlineStr">
        <is>
          <t>040007</t>
        </is>
      </c>
      <c r="B1942" t="inlineStr">
        <is>
          <t>Chi St Vincent Infirmary</t>
        </is>
      </c>
      <c r="C1942" t="inlineStr">
        <is>
          <t>AR</t>
        </is>
      </c>
      <c r="D1942" t="inlineStr">
        <is>
          <t>Metropolitan</t>
        </is>
      </c>
      <c r="E1942" s="5" t="n">
        <v>2706</v>
      </c>
      <c r="F1942" s="4" t="n">
        <v>0.6042128603104213</v>
      </c>
      <c r="G1942" s="4" t="n">
        <v>0.5198363392436036</v>
      </c>
      <c r="H1942" s="3" t="n">
        <v>59562945.53484615</v>
      </c>
      <c r="I1942" s="3" t="n">
        <v>-2608528.011602074</v>
      </c>
      <c r="J1942" s="4" t="n">
        <v>-0.043794476384248</v>
      </c>
      <c r="K1942">
        <f>IF(AND(I1942&gt;0,J1942&gt;=Assumptions!$B$4),1,0)</f>
        <v/>
      </c>
      <c r="L1942" s="3">
        <f>I1942*K1942</f>
        <v/>
      </c>
      <c r="M1942">
        <f>SUM($K$2:K1942)</f>
        <v/>
      </c>
    </row>
    <row r="1943">
      <c r="A1943" t="inlineStr">
        <is>
          <t>230019</t>
        </is>
      </c>
      <c r="B1943" t="inlineStr">
        <is>
          <t>Ascension Providence Hospital</t>
        </is>
      </c>
      <c r="C1943" t="inlineStr">
        <is>
          <t>MI</t>
        </is>
      </c>
      <c r="D1943" t="inlineStr">
        <is>
          <t>Metropolitan</t>
        </is>
      </c>
      <c r="E1943" s="5" t="n">
        <v>5328</v>
      </c>
      <c r="F1943" s="4" t="n">
        <v>0.5628753753753754</v>
      </c>
      <c r="G1943" s="4" t="n">
        <v>0.5266641953432143</v>
      </c>
      <c r="H1943" s="3" t="n">
        <v>85363456.08121528</v>
      </c>
      <c r="I1943" s="3" t="n">
        <v>-2633367.521474212</v>
      </c>
      <c r="J1943" s="4" t="n">
        <v>-0.0308488859561732</v>
      </c>
      <c r="K1943">
        <f>IF(AND(I1943&gt;0,J1943&gt;=Assumptions!$B$4),1,0)</f>
        <v/>
      </c>
      <c r="L1943" s="3">
        <f>I1943*K1943</f>
        <v/>
      </c>
      <c r="M1943">
        <f>SUM($K$2:K1943)</f>
        <v/>
      </c>
    </row>
    <row r="1944">
      <c r="A1944" t="inlineStr">
        <is>
          <t>180088</t>
        </is>
      </c>
      <c r="B1944" t="inlineStr">
        <is>
          <t>Norton Hospital / Norton Healthcare Pavilion / Nor</t>
        </is>
      </c>
      <c r="C1944" t="inlineStr">
        <is>
          <t>KY</t>
        </is>
      </c>
      <c r="D1944" t="inlineStr">
        <is>
          <t>Metropolitan</t>
        </is>
      </c>
      <c r="E1944" s="5" t="n">
        <v>9862</v>
      </c>
      <c r="F1944" s="4" t="n">
        <v>0.5558710200770635</v>
      </c>
      <c r="G1944" s="4" t="n">
        <v>0.5474178300678604</v>
      </c>
      <c r="H1944" s="3" t="n">
        <v>182687463.1663181</v>
      </c>
      <c r="I1944" s="3" t="n">
        <v>-2643762.979014665</v>
      </c>
      <c r="J1944" s="4" t="n">
        <v>-0.0144715074214358</v>
      </c>
      <c r="K1944">
        <f>IF(AND(I1944&gt;0,J1944&gt;=Assumptions!$B$4),1,0)</f>
        <v/>
      </c>
      <c r="L1944" s="3">
        <f>I1944*K1944</f>
        <v/>
      </c>
      <c r="M1944">
        <f>SUM($K$2:K1944)</f>
        <v/>
      </c>
    </row>
    <row r="1945">
      <c r="A1945" t="inlineStr">
        <is>
          <t>180067</t>
        </is>
      </c>
      <c r="B1945" t="inlineStr">
        <is>
          <t>University Of Kentucky Hospital</t>
        </is>
      </c>
      <c r="C1945" t="inlineStr">
        <is>
          <t>KY</t>
        </is>
      </c>
      <c r="D1945" t="inlineStr">
        <is>
          <t>Metropolitan</t>
        </is>
      </c>
      <c r="E1945" s="5" t="n">
        <v>3875</v>
      </c>
      <c r="F1945" s="4" t="n">
        <v>0.5790967741935484</v>
      </c>
      <c r="G1945" s="4" t="n">
        <v>0.5263860595763248</v>
      </c>
      <c r="H1945" s="3" t="n">
        <v>78957845.32440293</v>
      </c>
      <c r="I1945" s="3" t="n">
        <v>-2649298.962775096</v>
      </c>
      <c r="J1945" s="4" t="n">
        <v>-0.0335533340846662</v>
      </c>
      <c r="K1945">
        <f>IF(AND(I1945&gt;0,J1945&gt;=Assumptions!$B$4),1,0)</f>
        <v/>
      </c>
      <c r="L1945" s="3">
        <f>I1945*K1945</f>
        <v/>
      </c>
      <c r="M1945">
        <f>SUM($K$2:K1945)</f>
        <v/>
      </c>
    </row>
    <row r="1946">
      <c r="A1946" t="inlineStr">
        <is>
          <t>220012</t>
        </is>
      </c>
      <c r="B1946" t="inlineStr">
        <is>
          <t>Cape Cod Hospital</t>
        </is>
      </c>
      <c r="C1946" t="inlineStr">
        <is>
          <t>MA</t>
        </is>
      </c>
      <c r="D1946" t="inlineStr">
        <is>
          <t>Metropolitan</t>
        </is>
      </c>
      <c r="E1946" s="5" t="n">
        <v>6826</v>
      </c>
      <c r="F1946" s="4" t="n">
        <v>0.6108995019044828</v>
      </c>
      <c r="G1946" s="4" t="n">
        <v>0.5667494577501866</v>
      </c>
      <c r="H1946" s="3" t="n">
        <v>109249718.7070176</v>
      </c>
      <c r="I1946" s="3" t="n">
        <v>-2653088.330504775</v>
      </c>
      <c r="J1946" s="4" t="n">
        <v>-0.0242846239047968</v>
      </c>
      <c r="K1946">
        <f>IF(AND(I1946&gt;0,J1946&gt;=Assumptions!$B$4),1,0)</f>
        <v/>
      </c>
      <c r="L1946" s="3">
        <f>I1946*K1946</f>
        <v/>
      </c>
      <c r="M1946">
        <f>SUM($K$2:K1946)</f>
        <v/>
      </c>
    </row>
    <row r="1947">
      <c r="A1947" t="inlineStr">
        <is>
          <t>500064</t>
        </is>
      </c>
      <c r="B1947" t="inlineStr">
        <is>
          <t>Harborview Medical Center</t>
        </is>
      </c>
      <c r="C1947" t="inlineStr">
        <is>
          <t>WA</t>
        </is>
      </c>
      <c r="D1947" t="inlineStr">
        <is>
          <t>Metropolitan</t>
        </is>
      </c>
      <c r="E1947" s="5" t="n">
        <v>1555</v>
      </c>
      <c r="F1947" s="4" t="n">
        <v>0.5093247588424438</v>
      </c>
      <c r="G1947" s="4" t="n">
        <v>0.4404725930902299</v>
      </c>
      <c r="H1947" s="3" t="n">
        <v>39348206.86873452</v>
      </c>
      <c r="I1947" s="3" t="n">
        <v>-2714035.541790687</v>
      </c>
      <c r="J1947" s="4" t="n">
        <v>-0.06897482141548909</v>
      </c>
      <c r="K1947">
        <f>IF(AND(I1947&gt;0,J1947&gt;=Assumptions!$B$4),1,0)</f>
        <v/>
      </c>
      <c r="L1947" s="3">
        <f>I1947*K1947</f>
        <v/>
      </c>
      <c r="M1947">
        <f>SUM($K$2:K1947)</f>
        <v/>
      </c>
    </row>
    <row r="1948">
      <c r="A1948" t="inlineStr">
        <is>
          <t>450431</t>
        </is>
      </c>
      <c r="B1948" t="inlineStr">
        <is>
          <t>St David's Medical Center</t>
        </is>
      </c>
      <c r="C1948" t="inlineStr">
        <is>
          <t>TX</t>
        </is>
      </c>
      <c r="D1948" t="inlineStr">
        <is>
          <t>Metropolitan</t>
        </is>
      </c>
      <c r="E1948" s="5" t="n">
        <v>4391</v>
      </c>
      <c r="F1948" s="4" t="n">
        <v>0.5493053974037805</v>
      </c>
      <c r="G1948" s="4" t="n">
        <v>0.5048670984137202</v>
      </c>
      <c r="H1948" s="3" t="n">
        <v>89996853.18575045</v>
      </c>
      <c r="I1948" s="3" t="n">
        <v>-2726180.135747775</v>
      </c>
      <c r="J1948" s="4" t="n">
        <v>-0.0302919495431804</v>
      </c>
      <c r="K1948">
        <f>IF(AND(I1948&gt;0,J1948&gt;=Assumptions!$B$4),1,0)</f>
        <v/>
      </c>
      <c r="L1948" s="3">
        <f>I1948*K1948</f>
        <v/>
      </c>
      <c r="M1948">
        <f>SUM($K$2:K1948)</f>
        <v/>
      </c>
    </row>
    <row r="1949">
      <c r="A1949" t="inlineStr">
        <is>
          <t>450040</t>
        </is>
      </c>
      <c r="B1949" t="inlineStr">
        <is>
          <t>Covenant Medical Center</t>
        </is>
      </c>
      <c r="C1949" t="inlineStr">
        <is>
          <t>TX</t>
        </is>
      </c>
      <c r="D1949" t="inlineStr">
        <is>
          <t>Metropolitan</t>
        </is>
      </c>
      <c r="E1949" s="5" t="n">
        <v>3300</v>
      </c>
      <c r="F1949" s="4" t="n">
        <v>0.6957575757575758</v>
      </c>
      <c r="G1949" s="4" t="n">
        <v>0.594744922022134</v>
      </c>
      <c r="H1949" s="3" t="n">
        <v>55993554.56060084</v>
      </c>
      <c r="I1949" s="3" t="n">
        <v>-2734575.574395873</v>
      </c>
      <c r="J1949" s="4" t="n">
        <v>-0.0488373277220021</v>
      </c>
      <c r="K1949">
        <f>IF(AND(I1949&gt;0,J1949&gt;=Assumptions!$B$4),1,0)</f>
        <v/>
      </c>
      <c r="L1949" s="3">
        <f>I1949*K1949</f>
        <v/>
      </c>
      <c r="M1949">
        <f>SUM($K$2:K1949)</f>
        <v/>
      </c>
    </row>
    <row r="1950">
      <c r="A1950" t="inlineStr">
        <is>
          <t>230165</t>
        </is>
      </c>
      <c r="B1950" t="inlineStr">
        <is>
          <t>Ascension St John Hospital</t>
        </is>
      </c>
      <c r="C1950" t="inlineStr">
        <is>
          <t>MI</t>
        </is>
      </c>
      <c r="D1950" t="inlineStr">
        <is>
          <t>Metropolitan</t>
        </is>
      </c>
      <c r="E1950" s="5" t="n">
        <v>2723</v>
      </c>
      <c r="F1950" s="4" t="n">
        <v>0.6838046272493573</v>
      </c>
      <c r="G1950" s="4" t="n">
        <v>0.5765013213543253</v>
      </c>
      <c r="H1950" s="3" t="n">
        <v>45563175.71008828</v>
      </c>
      <c r="I1950" s="3" t="n">
        <v>-2762131.925573938</v>
      </c>
      <c r="J1950" s="4" t="n">
        <v>-0.0606220238718427</v>
      </c>
      <c r="K1950">
        <f>IF(AND(I1950&gt;0,J1950&gt;=Assumptions!$B$4),1,0)</f>
        <v/>
      </c>
      <c r="L1950" s="3">
        <f>I1950*K1950</f>
        <v/>
      </c>
      <c r="M1950">
        <f>SUM($K$2:K1950)</f>
        <v/>
      </c>
    </row>
    <row r="1951">
      <c r="A1951" t="inlineStr">
        <is>
          <t>450135</t>
        </is>
      </c>
      <c r="B1951" t="inlineStr">
        <is>
          <t>Texas Health Harris Methodist Fort Worth</t>
        </is>
      </c>
      <c r="C1951" t="inlineStr">
        <is>
          <t>TX</t>
        </is>
      </c>
      <c r="D1951" t="inlineStr">
        <is>
          <t>Metropolitan</t>
        </is>
      </c>
      <c r="E1951" s="5" t="n">
        <v>6199</v>
      </c>
      <c r="F1951" s="4" t="n">
        <v>0.5589611227617358</v>
      </c>
      <c r="G1951" s="4" t="n">
        <v>0.5248736087444756</v>
      </c>
      <c r="H1951" s="3" t="n">
        <v>112974336.9356968</v>
      </c>
      <c r="I1951" s="3" t="n">
        <v>-2781614.026582181</v>
      </c>
      <c r="J1951" s="4" t="n">
        <v>-0.0246216450747166</v>
      </c>
      <c r="K1951">
        <f>IF(AND(I1951&gt;0,J1951&gt;=Assumptions!$B$4),1,0)</f>
        <v/>
      </c>
      <c r="L1951" s="3">
        <f>I1951*K1951</f>
        <v/>
      </c>
      <c r="M1951">
        <f>SUM($K$2:K1951)</f>
        <v/>
      </c>
    </row>
    <row r="1952">
      <c r="A1952" t="inlineStr">
        <is>
          <t>330198</t>
        </is>
      </c>
      <c r="B1952" t="inlineStr">
        <is>
          <t>Mount Sinai South Nassau</t>
        </is>
      </c>
      <c r="C1952" t="inlineStr">
        <is>
          <t>NY</t>
        </is>
      </c>
      <c r="D1952" t="inlineStr">
        <is>
          <t>Metropolitan</t>
        </is>
      </c>
      <c r="E1952" s="5" t="n">
        <v>4273</v>
      </c>
      <c r="F1952" s="4" t="n">
        <v>0.7133161713082143</v>
      </c>
      <c r="G1952" s="4" t="n">
        <v>0.6236321867454133</v>
      </c>
      <c r="H1952" s="3" t="n">
        <v>66746370.40338059</v>
      </c>
      <c r="I1952" s="3" t="n">
        <v>-2859778.390813306</v>
      </c>
      <c r="J1952" s="4" t="n">
        <v>-0.0428454517231466</v>
      </c>
      <c r="K1952">
        <f>IF(AND(I1952&gt;0,J1952&gt;=Assumptions!$B$4),1,0)</f>
        <v/>
      </c>
      <c r="L1952" s="3">
        <f>I1952*K1952</f>
        <v/>
      </c>
      <c r="M1952">
        <f>SUM($K$2:K1952)</f>
        <v/>
      </c>
    </row>
    <row r="1953">
      <c r="A1953" t="inlineStr">
        <is>
          <t>100113</t>
        </is>
      </c>
      <c r="B1953" t="inlineStr">
        <is>
          <t>Uf Health Shands Hospital</t>
        </is>
      </c>
      <c r="C1953" t="inlineStr">
        <is>
          <t>FL</t>
        </is>
      </c>
      <c r="D1953" t="inlineStr">
        <is>
          <t>Metropolitan</t>
        </is>
      </c>
      <c r="E1953" s="5" t="n">
        <v>6804</v>
      </c>
      <c r="F1953" s="4" t="n">
        <v>0.5570252792475014</v>
      </c>
      <c r="G1953" s="4" t="n">
        <v>0.5419091411398426</v>
      </c>
      <c r="H1953" s="3" t="n">
        <v>126684695.3094086</v>
      </c>
      <c r="I1953" s="3" t="n">
        <v>-2929669.826053813</v>
      </c>
      <c r="J1953" s="4" t="n">
        <v>-0.0231256808006565</v>
      </c>
      <c r="K1953">
        <f>IF(AND(I1953&gt;0,J1953&gt;=Assumptions!$B$4),1,0)</f>
        <v/>
      </c>
      <c r="L1953" s="3">
        <f>I1953*K1953</f>
        <v/>
      </c>
      <c r="M1953">
        <f>SUM($K$2:K1953)</f>
        <v/>
      </c>
    </row>
    <row r="1954">
      <c r="A1954" t="inlineStr">
        <is>
          <t>240010</t>
        </is>
      </c>
      <c r="B1954" t="inlineStr">
        <is>
          <t>Mayo Clinic Hospital Rochester</t>
        </is>
      </c>
      <c r="C1954" t="inlineStr">
        <is>
          <t>MN</t>
        </is>
      </c>
      <c r="D1954" t="inlineStr">
        <is>
          <t>Metropolitan</t>
        </is>
      </c>
      <c r="E1954" s="5" t="n">
        <v>12491</v>
      </c>
      <c r="F1954" s="4" t="n">
        <v>0.4652950124089344</v>
      </c>
      <c r="G1954" s="4" t="n">
        <v>0.4663997809679408</v>
      </c>
      <c r="H1954" s="3" t="n">
        <v>290858895.6386283</v>
      </c>
      <c r="I1954" s="3" t="n">
        <v>-2971647.223840475</v>
      </c>
      <c r="J1954" s="4" t="n">
        <v>-0.010216800202434</v>
      </c>
      <c r="K1954">
        <f>IF(AND(I1954&gt;0,J1954&gt;=Assumptions!$B$4),1,0)</f>
        <v/>
      </c>
      <c r="L1954" s="3">
        <f>I1954*K1954</f>
        <v/>
      </c>
      <c r="M1954">
        <f>SUM($K$2:K1954)</f>
        <v/>
      </c>
    </row>
    <row r="1955">
      <c r="A1955" t="inlineStr">
        <is>
          <t>500025</t>
        </is>
      </c>
      <c r="B1955" t="inlineStr">
        <is>
          <t>Swedish Medical Center / Cherry Hill</t>
        </is>
      </c>
      <c r="C1955" t="inlineStr">
        <is>
          <t>WA</t>
        </is>
      </c>
      <c r="D1955" t="inlineStr">
        <is>
          <t>Metropolitan</t>
        </is>
      </c>
      <c r="E1955" s="5" t="n">
        <v>1372</v>
      </c>
      <c r="F1955" s="4" t="n">
        <v>0.6253644314868805</v>
      </c>
      <c r="G1955" s="4" t="n">
        <v>0.5019602389722416</v>
      </c>
      <c r="H1955" s="3" t="n">
        <v>40469536.91968701</v>
      </c>
      <c r="I1955" s="3" t="n">
        <v>-3020929.17105794</v>
      </c>
      <c r="J1955" s="4" t="n">
        <v>-0.07464699131727311</v>
      </c>
      <c r="K1955">
        <f>IF(AND(I1955&gt;0,J1955&gt;=Assumptions!$B$4),1,0)</f>
        <v/>
      </c>
      <c r="L1955" s="3">
        <f>I1955*K1955</f>
        <v/>
      </c>
      <c r="M1955">
        <f>SUM($K$2:K1955)</f>
        <v/>
      </c>
    </row>
    <row r="1956">
      <c r="A1956" t="inlineStr">
        <is>
          <t>050663</t>
        </is>
      </c>
      <c r="B1956" t="inlineStr">
        <is>
          <t>Los Angeles Community Hospital</t>
        </is>
      </c>
      <c r="C1956" t="inlineStr">
        <is>
          <t>CA</t>
        </is>
      </c>
      <c r="D1956" t="inlineStr">
        <is>
          <t>Metropolitan</t>
        </is>
      </c>
      <c r="E1956" s="5" t="n">
        <v>2094</v>
      </c>
      <c r="F1956" s="4" t="n">
        <v>0.8299904489016237</v>
      </c>
      <c r="G1956" s="4" t="n">
        <v>0.5735178368723091</v>
      </c>
      <c r="H1956" s="3" t="n">
        <v>26545282.1474477</v>
      </c>
      <c r="I1956" s="3" t="n">
        <v>-3132976.903270304</v>
      </c>
      <c r="J1956" s="4" t="n">
        <v>-0.1180238690200374</v>
      </c>
      <c r="K1956">
        <f>IF(AND(I1956&gt;0,J1956&gt;=Assumptions!$B$4),1,0)</f>
        <v/>
      </c>
      <c r="L1956" s="3">
        <f>I1956*K1956</f>
        <v/>
      </c>
      <c r="M1956">
        <f>SUM($K$2:K1956)</f>
        <v/>
      </c>
    </row>
    <row r="1957">
      <c r="A1957" t="inlineStr">
        <is>
          <t>440049</t>
        </is>
      </c>
      <c r="B1957" t="inlineStr">
        <is>
          <t>Methodist Hospitals Of Memphis</t>
        </is>
      </c>
      <c r="C1957" t="inlineStr">
        <is>
          <t>TN</t>
        </is>
      </c>
      <c r="D1957" t="inlineStr">
        <is>
          <t>Metropolitan</t>
        </is>
      </c>
      <c r="E1957" s="5" t="n">
        <v>7953</v>
      </c>
      <c r="F1957" s="4" t="n">
        <v>0.6328429523450271</v>
      </c>
      <c r="G1957" s="4" t="n">
        <v>0.5784639960174952</v>
      </c>
      <c r="H1957" s="3" t="n">
        <v>142701073.0405666</v>
      </c>
      <c r="I1957" s="3" t="n">
        <v>-3204059.775302052</v>
      </c>
      <c r="J1957" s="4" t="n">
        <v>-0.0224529480194673</v>
      </c>
      <c r="K1957">
        <f>IF(AND(I1957&gt;0,J1957&gt;=Assumptions!$B$4),1,0)</f>
        <v/>
      </c>
      <c r="L1957" s="3">
        <f>I1957*K1957</f>
        <v/>
      </c>
      <c r="M1957">
        <f>SUM($K$2:K1957)</f>
        <v/>
      </c>
    </row>
    <row r="1958">
      <c r="A1958" t="inlineStr">
        <is>
          <t>140119</t>
        </is>
      </c>
      <c r="B1958" t="inlineStr">
        <is>
          <t>Rush University Medical Center</t>
        </is>
      </c>
      <c r="C1958" t="inlineStr">
        <is>
          <t>IL</t>
        </is>
      </c>
      <c r="D1958" t="inlineStr">
        <is>
          <t>Metropolitan</t>
        </is>
      </c>
      <c r="E1958" s="5" t="n">
        <v>4946</v>
      </c>
      <c r="F1958" s="4" t="n">
        <v>0.5487262434290335</v>
      </c>
      <c r="G1958" s="4" t="n">
        <v>0.5147534508488469</v>
      </c>
      <c r="H1958" s="3" t="n">
        <v>104919980.4648402</v>
      </c>
      <c r="I1958" s="3" t="n">
        <v>-3251704.804458633</v>
      </c>
      <c r="J1958" s="4" t="n">
        <v>-0.0309922360836534</v>
      </c>
      <c r="K1958">
        <f>IF(AND(I1958&gt;0,J1958&gt;=Assumptions!$B$4),1,0)</f>
        <v/>
      </c>
      <c r="L1958" s="3">
        <f>I1958*K1958</f>
        <v/>
      </c>
      <c r="M1958">
        <f>SUM($K$2:K1958)</f>
        <v/>
      </c>
    </row>
    <row r="1959">
      <c r="A1959" t="inlineStr">
        <is>
          <t>050112</t>
        </is>
      </c>
      <c r="B1959" t="inlineStr">
        <is>
          <t>Santa Monica - Ucla Med Ctr &amp; Orthopaedic Hospital</t>
        </is>
      </c>
      <c r="C1959" t="inlineStr">
        <is>
          <t>CA</t>
        </is>
      </c>
      <c r="D1959" t="inlineStr">
        <is>
          <t>Metropolitan</t>
        </is>
      </c>
      <c r="E1959" s="5" t="n">
        <v>2763</v>
      </c>
      <c r="F1959" s="4" t="n">
        <v>0.6460369163952225</v>
      </c>
      <c r="G1959" s="4" t="n">
        <v>0.543226701636225</v>
      </c>
      <c r="H1959" s="3" t="n">
        <v>46219507.84852395</v>
      </c>
      <c r="I1959" s="3" t="n">
        <v>-3252863.907329515</v>
      </c>
      <c r="J1959" s="4" t="n">
        <v>-0.07037859247636701</v>
      </c>
      <c r="K1959">
        <f>IF(AND(I1959&gt;0,J1959&gt;=Assumptions!$B$4),1,0)</f>
        <v/>
      </c>
      <c r="L1959" s="3">
        <f>I1959*K1959</f>
        <v/>
      </c>
      <c r="M1959">
        <f>SUM($K$2:K1959)</f>
        <v/>
      </c>
    </row>
    <row r="1960">
      <c r="A1960" t="inlineStr">
        <is>
          <t>420078</t>
        </is>
      </c>
      <c r="B1960" t="inlineStr">
        <is>
          <t>Prisma Health Greenville Memorial Hospital</t>
        </is>
      </c>
      <c r="C1960" t="inlineStr">
        <is>
          <t>SC</t>
        </is>
      </c>
      <c r="D1960" t="inlineStr">
        <is>
          <t>Metropolitan</t>
        </is>
      </c>
      <c r="E1960" s="5" t="n">
        <v>5491</v>
      </c>
      <c r="F1960" s="4" t="n">
        <v>0.5814969950828629</v>
      </c>
      <c r="G1960" s="4" t="n">
        <v>0.5210078022860399</v>
      </c>
      <c r="H1960" s="3" t="n">
        <v>109921115.3431751</v>
      </c>
      <c r="I1960" s="3" t="n">
        <v>-3256343.53196007</v>
      </c>
      <c r="J1960" s="4" t="n">
        <v>-0.0296243676366795</v>
      </c>
      <c r="K1960">
        <f>IF(AND(I1960&gt;0,J1960&gt;=Assumptions!$B$4),1,0)</f>
        <v/>
      </c>
      <c r="L1960" s="3">
        <f>I1960*K1960</f>
        <v/>
      </c>
      <c r="M1960">
        <f>SUM($K$2:K1960)</f>
        <v/>
      </c>
    </row>
    <row r="1961">
      <c r="A1961" t="inlineStr">
        <is>
          <t>420018</t>
        </is>
      </c>
      <c r="B1961" t="inlineStr">
        <is>
          <t>Prisma Health Richland Hospital</t>
        </is>
      </c>
      <c r="C1961" t="inlineStr">
        <is>
          <t>SC</t>
        </is>
      </c>
      <c r="D1961" t="inlineStr">
        <is>
          <t>Metropolitan</t>
        </is>
      </c>
      <c r="E1961" s="5" t="n">
        <v>3211</v>
      </c>
      <c r="F1961" s="4" t="n">
        <v>0.6446589847399564</v>
      </c>
      <c r="G1961" s="4" t="n">
        <v>0.5560286589906392</v>
      </c>
      <c r="H1961" s="3" t="n">
        <v>61992273.00567305</v>
      </c>
      <c r="I1961" s="3" t="n">
        <v>-3260024.975637071</v>
      </c>
      <c r="J1961" s="4" t="n">
        <v>-0.0525876019312719</v>
      </c>
      <c r="K1961">
        <f>IF(AND(I1961&gt;0,J1961&gt;=Assumptions!$B$4),1,0)</f>
        <v/>
      </c>
      <c r="L1961" s="3">
        <f>I1961*K1961</f>
        <v/>
      </c>
      <c r="M1961">
        <f>SUM($K$2:K1961)</f>
        <v/>
      </c>
    </row>
    <row r="1962">
      <c r="A1962" t="inlineStr">
        <is>
          <t>050239</t>
        </is>
      </c>
      <c r="B1962" t="inlineStr">
        <is>
          <t>Glendale Adventist Medical Center</t>
        </is>
      </c>
      <c r="C1962" t="inlineStr">
        <is>
          <t>CA</t>
        </is>
      </c>
      <c r="D1962" t="inlineStr">
        <is>
          <t>Metropolitan</t>
        </is>
      </c>
      <c r="E1962" s="5" t="n">
        <v>4524</v>
      </c>
      <c r="F1962" s="4" t="n">
        <v>0.6916445623342176</v>
      </c>
      <c r="G1962" s="4" t="n">
        <v>0.6079947195599826</v>
      </c>
      <c r="H1962" s="3" t="n">
        <v>71173374.87413049</v>
      </c>
      <c r="I1962" s="3" t="n">
        <v>-3277130.494069636</v>
      </c>
      <c r="J1962" s="4" t="n">
        <v>-0.0460443318848546</v>
      </c>
      <c r="K1962">
        <f>IF(AND(I1962&gt;0,J1962&gt;=Assumptions!$B$4),1,0)</f>
        <v/>
      </c>
      <c r="L1962" s="3">
        <f>I1962*K1962</f>
        <v/>
      </c>
      <c r="M1962">
        <f>SUM($K$2:K1962)</f>
        <v/>
      </c>
    </row>
    <row r="1963">
      <c r="A1963" t="inlineStr">
        <is>
          <t>300003</t>
        </is>
      </c>
      <c r="B1963" t="inlineStr">
        <is>
          <t>Mary Hitchcock Memorial Hospital</t>
        </is>
      </c>
      <c r="C1963" t="inlineStr">
        <is>
          <t>NH</t>
        </is>
      </c>
      <c r="D1963" t="inlineStr">
        <is>
          <t>Micropolitan</t>
        </is>
      </c>
      <c r="E1963" s="5" t="n">
        <v>4208</v>
      </c>
      <c r="F1963" s="4" t="n">
        <v>0.5190114068441065</v>
      </c>
      <c r="G1963" s="4" t="n">
        <v>0.512408582136927</v>
      </c>
      <c r="H1963" s="3" t="n">
        <v>92546168.56012276</v>
      </c>
      <c r="I1963" s="3" t="n">
        <v>-3284357.461277351</v>
      </c>
      <c r="J1963" s="4" t="n">
        <v>-0.0354888539674515</v>
      </c>
      <c r="K1963">
        <f>IF(AND(I1963&gt;0,J1963&gt;=Assumptions!$B$4),1,0)</f>
        <v/>
      </c>
      <c r="L1963" s="3">
        <f>I1963*K1963</f>
        <v/>
      </c>
      <c r="M1963">
        <f>SUM($K$2:K1963)</f>
        <v/>
      </c>
    </row>
    <row r="1964">
      <c r="A1964" t="inlineStr">
        <is>
          <t>330024</t>
        </is>
      </c>
      <c r="B1964" t="inlineStr">
        <is>
          <t>Mount Sinai Hospital</t>
        </is>
      </c>
      <c r="C1964" t="inlineStr">
        <is>
          <t>NY</t>
        </is>
      </c>
      <c r="D1964" t="inlineStr">
        <is>
          <t>Metropolitan</t>
        </is>
      </c>
      <c r="E1964" s="5" t="n">
        <v>7985</v>
      </c>
      <c r="F1964" s="4" t="n">
        <v>0.5739511584220414</v>
      </c>
      <c r="G1964" s="4" t="n">
        <v>0.5265772992556611</v>
      </c>
      <c r="H1964" s="3" t="n">
        <v>174376384.3689095</v>
      </c>
      <c r="I1964" s="3" t="n">
        <v>-3337295.031475574</v>
      </c>
      <c r="J1964" s="4" t="n">
        <v>-0.019138457558652</v>
      </c>
      <c r="K1964">
        <f>IF(AND(I1964&gt;0,J1964&gt;=Assumptions!$B$4),1,0)</f>
        <v/>
      </c>
      <c r="L1964" s="3">
        <f>I1964*K1964</f>
        <v/>
      </c>
      <c r="M1964">
        <f>SUM($K$2:K1964)</f>
        <v/>
      </c>
    </row>
    <row r="1965">
      <c r="A1965" t="inlineStr">
        <is>
          <t>450021</t>
        </is>
      </c>
      <c r="B1965" t="inlineStr">
        <is>
          <t>Baylor University Medical Center</t>
        </is>
      </c>
      <c r="C1965" t="inlineStr">
        <is>
          <t>TX</t>
        </is>
      </c>
      <c r="D1965" t="inlineStr">
        <is>
          <t>Metropolitan</t>
        </is>
      </c>
      <c r="E1965" s="5" t="n">
        <v>5021</v>
      </c>
      <c r="F1965" s="4" t="n">
        <v>0.5855407289384584</v>
      </c>
      <c r="G1965" s="4" t="n">
        <v>0.5339246159351807</v>
      </c>
      <c r="H1965" s="3" t="n">
        <v>98061001.06489231</v>
      </c>
      <c r="I1965" s="3" t="n">
        <v>-3399507.526811197</v>
      </c>
      <c r="J1965" s="4" t="n">
        <v>-0.034667273328788</v>
      </c>
      <c r="K1965">
        <f>IF(AND(I1965&gt;0,J1965&gt;=Assumptions!$B$4),1,0)</f>
        <v/>
      </c>
      <c r="L1965" s="3">
        <f>I1965*K1965</f>
        <v/>
      </c>
      <c r="M1965">
        <f>SUM($K$2:K1965)</f>
        <v/>
      </c>
    </row>
    <row r="1966">
      <c r="A1966" t="inlineStr">
        <is>
          <t>450193</t>
        </is>
      </c>
      <c r="B1966" t="inlineStr">
        <is>
          <t>Chi St Luke's Health Baylor College Of Medicine Me</t>
        </is>
      </c>
      <c r="C1966" t="inlineStr">
        <is>
          <t>TX</t>
        </is>
      </c>
      <c r="D1966" t="inlineStr">
        <is>
          <t>Metropolitan</t>
        </is>
      </c>
      <c r="E1966" s="5" t="n">
        <v>2555</v>
      </c>
      <c r="F1966" s="4" t="n">
        <v>0.6434442270058709</v>
      </c>
      <c r="G1966" s="4" t="n">
        <v>0.5577667067735609</v>
      </c>
      <c r="H1966" s="3" t="n">
        <v>55423999.53694537</v>
      </c>
      <c r="I1966" s="3" t="n">
        <v>-3400384.514622651</v>
      </c>
      <c r="J1966" s="4" t="n">
        <v>-0.0613522037931595</v>
      </c>
      <c r="K1966">
        <f>IF(AND(I1966&gt;0,J1966&gt;=Assumptions!$B$4),1,0)</f>
        <v/>
      </c>
      <c r="L1966" s="3">
        <f>I1966*K1966</f>
        <v/>
      </c>
      <c r="M1966">
        <f>SUM($K$2:K1966)</f>
        <v/>
      </c>
    </row>
    <row r="1967">
      <c r="A1967" t="inlineStr">
        <is>
          <t>440002</t>
        </is>
      </c>
      <c r="B1967" t="inlineStr">
        <is>
          <t>Jackson-Madison County General Hospital</t>
        </is>
      </c>
      <c r="C1967" t="inlineStr">
        <is>
          <t>TN</t>
        </is>
      </c>
      <c r="D1967" t="inlineStr">
        <is>
          <t>Metropolitan</t>
        </is>
      </c>
      <c r="E1967" s="5" t="n">
        <v>6250</v>
      </c>
      <c r="F1967" s="4" t="n">
        <v>0.66272</v>
      </c>
      <c r="G1967" s="4" t="n">
        <v>0.5913916803562848</v>
      </c>
      <c r="H1967" s="3" t="n">
        <v>107724892.429643</v>
      </c>
      <c r="I1967" s="3" t="n">
        <v>-3439647.373195305</v>
      </c>
      <c r="J1967" s="4" t="n">
        <v>-0.0319299216329392</v>
      </c>
      <c r="K1967">
        <f>IF(AND(I1967&gt;0,J1967&gt;=Assumptions!$B$4),1,0)</f>
        <v/>
      </c>
      <c r="L1967" s="3">
        <f>I1967*K1967</f>
        <v/>
      </c>
      <c r="M1967">
        <f>SUM($K$2:K1967)</f>
        <v/>
      </c>
    </row>
    <row r="1968">
      <c r="A1968" t="inlineStr">
        <is>
          <t>310001</t>
        </is>
      </c>
      <c r="B1968" t="inlineStr">
        <is>
          <t>Hackensack University Medical Center</t>
        </is>
      </c>
      <c r="C1968" t="inlineStr">
        <is>
          <t>NJ</t>
        </is>
      </c>
      <c r="D1968" t="inlineStr">
        <is>
          <t>Metropolitan</t>
        </is>
      </c>
      <c r="E1968" s="5" t="n">
        <v>6630</v>
      </c>
      <c r="F1968" s="4" t="n">
        <v>0.6254901960784314</v>
      </c>
      <c r="G1968" s="4" t="n">
        <v>0.5665767945363457</v>
      </c>
      <c r="H1968" s="3" t="n">
        <v>123007762.5519343</v>
      </c>
      <c r="I1968" s="3" t="n">
        <v>-3471189.7040651</v>
      </c>
      <c r="J1968" s="4" t="n">
        <v>-0.0282192735812063</v>
      </c>
      <c r="K1968">
        <f>IF(AND(I1968&gt;0,J1968&gt;=Assumptions!$B$4),1,0)</f>
        <v/>
      </c>
      <c r="L1968" s="3">
        <f>I1968*K1968</f>
        <v/>
      </c>
      <c r="M1968">
        <f>SUM($K$2:K1968)</f>
        <v/>
      </c>
    </row>
    <row r="1969">
      <c r="A1969" t="inlineStr">
        <is>
          <t>310073</t>
        </is>
      </c>
      <c r="B1969" t="inlineStr">
        <is>
          <t>Jersey Shore University Medical Center</t>
        </is>
      </c>
      <c r="C1969" t="inlineStr">
        <is>
          <t>NJ</t>
        </is>
      </c>
      <c r="D1969" t="inlineStr">
        <is>
          <t>Metropolitan</t>
        </is>
      </c>
      <c r="E1969" s="5" t="n">
        <v>7211</v>
      </c>
      <c r="F1969" s="4" t="n">
        <v>0.5750936069893219</v>
      </c>
      <c r="G1969" s="4" t="n">
        <v>0.5329929652726654</v>
      </c>
      <c r="H1969" s="3" t="n">
        <v>135944357.5236142</v>
      </c>
      <c r="I1969" s="3" t="n">
        <v>-3482662.323699117</v>
      </c>
      <c r="J1969" s="4" t="n">
        <v>-0.0256182925657224</v>
      </c>
      <c r="K1969">
        <f>IF(AND(I1969&gt;0,J1969&gt;=Assumptions!$B$4),1,0)</f>
        <v/>
      </c>
      <c r="L1969" s="3">
        <f>I1969*K1969</f>
        <v/>
      </c>
      <c r="M1969">
        <f>SUM($K$2:K1969)</f>
        <v/>
      </c>
    </row>
    <row r="1970">
      <c r="A1970" t="inlineStr">
        <is>
          <t>240080</t>
        </is>
      </c>
      <c r="B1970" t="inlineStr">
        <is>
          <t>M Health Fairview University Of Mn</t>
        </is>
      </c>
      <c r="C1970" t="inlineStr">
        <is>
          <t>MN</t>
        </is>
      </c>
      <c r="D1970" t="inlineStr">
        <is>
          <t>Metropolitan</t>
        </is>
      </c>
      <c r="E1970" s="5" t="n">
        <v>2713</v>
      </c>
      <c r="F1970" s="4" t="n">
        <v>0.5809067453004054</v>
      </c>
      <c r="G1970" s="4" t="n">
        <v>0.5366669497519626</v>
      </c>
      <c r="H1970" s="3" t="n">
        <v>54087887.2042786</v>
      </c>
      <c r="I1970" s="3" t="n">
        <v>-3514855.451515131</v>
      </c>
      <c r="J1970" s="4" t="n">
        <v>-0.06498415140972801</v>
      </c>
      <c r="K1970">
        <f>IF(AND(I1970&gt;0,J1970&gt;=Assumptions!$B$4),1,0)</f>
        <v/>
      </c>
      <c r="L1970" s="3">
        <f>I1970*K1970</f>
        <v/>
      </c>
      <c r="M1970">
        <f>SUM($K$2:K1970)</f>
        <v/>
      </c>
    </row>
    <row r="1971">
      <c r="A1971" t="inlineStr">
        <is>
          <t>160058</t>
        </is>
      </c>
      <c r="B1971" t="inlineStr">
        <is>
          <t>University Of Iowa Hospital &amp; Clinics</t>
        </is>
      </c>
      <c r="C1971" t="inlineStr">
        <is>
          <t>IA</t>
        </is>
      </c>
      <c r="D1971" t="inlineStr">
        <is>
          <t>Metropolitan</t>
        </is>
      </c>
      <c r="E1971" s="5" t="n">
        <v>5031</v>
      </c>
      <c r="F1971" s="4" t="n">
        <v>0.5328960445239515</v>
      </c>
      <c r="G1971" s="4" t="n">
        <v>0.4961762997000248</v>
      </c>
      <c r="H1971" s="3" t="n">
        <v>112079841.6163126</v>
      </c>
      <c r="I1971" s="3" t="n">
        <v>-3520870.28772232</v>
      </c>
      <c r="J1971" s="4" t="n">
        <v>-0.0314139477442826</v>
      </c>
      <c r="K1971">
        <f>IF(AND(I1971&gt;0,J1971&gt;=Assumptions!$B$4),1,0)</f>
        <v/>
      </c>
      <c r="L1971" s="3">
        <f>I1971*K1971</f>
        <v/>
      </c>
      <c r="M1971">
        <f>SUM($K$2:K1971)</f>
        <v/>
      </c>
    </row>
    <row r="1972">
      <c r="A1972" t="inlineStr">
        <is>
          <t>150084</t>
        </is>
      </c>
      <c r="B1972" t="inlineStr">
        <is>
          <t>Ascension St Vincent Hospital</t>
        </is>
      </c>
      <c r="C1972" t="inlineStr">
        <is>
          <t>IN</t>
        </is>
      </c>
      <c r="D1972" t="inlineStr">
        <is>
          <t>Metropolitan</t>
        </is>
      </c>
      <c r="E1972" s="5" t="n">
        <v>4235</v>
      </c>
      <c r="F1972" s="4" t="n">
        <v>0.5482880755608028</v>
      </c>
      <c r="G1972" s="4" t="n">
        <v>0.4871231102942974</v>
      </c>
      <c r="H1972" s="3" t="n">
        <v>81390355.43347581</v>
      </c>
      <c r="I1972" s="3" t="n">
        <v>-3655420.294124842</v>
      </c>
      <c r="J1972" s="4" t="n">
        <v>-0.0449122045807084</v>
      </c>
      <c r="K1972">
        <f>IF(AND(I1972&gt;0,J1972&gt;=Assumptions!$B$4),1,0)</f>
        <v/>
      </c>
      <c r="L1972" s="3">
        <f>I1972*K1972</f>
        <v/>
      </c>
      <c r="M1972">
        <f>SUM($K$2:K1972)</f>
        <v/>
      </c>
    </row>
    <row r="1973">
      <c r="A1973" t="inlineStr">
        <is>
          <t>170122</t>
        </is>
      </c>
      <c r="B1973" t="inlineStr">
        <is>
          <t>Ascension Via Christi Hospitals Wichita, Inc.</t>
        </is>
      </c>
      <c r="C1973" t="inlineStr">
        <is>
          <t>KS</t>
        </is>
      </c>
      <c r="D1973" t="inlineStr">
        <is>
          <t>Metropolitan</t>
        </is>
      </c>
      <c r="E1973" s="5" t="n">
        <v>4927</v>
      </c>
      <c r="F1973" s="4" t="n">
        <v>0.6194438806576009</v>
      </c>
      <c r="G1973" s="4" t="n">
        <v>0.548611059384309</v>
      </c>
      <c r="H1973" s="3" t="n">
        <v>92906137.9878656</v>
      </c>
      <c r="I1973" s="3" t="n">
        <v>-3669300.301209137</v>
      </c>
      <c r="J1973" s="4" t="n">
        <v>-0.0394947027255441</v>
      </c>
      <c r="K1973">
        <f>IF(AND(I1973&gt;0,J1973&gt;=Assumptions!$B$4),1,0)</f>
        <v/>
      </c>
      <c r="L1973" s="3">
        <f>I1973*K1973</f>
        <v/>
      </c>
      <c r="M1973">
        <f>SUM($K$2:K1973)</f>
        <v/>
      </c>
    </row>
    <row r="1974">
      <c r="A1974" t="inlineStr">
        <is>
          <t>450044</t>
        </is>
      </c>
      <c r="B1974" t="inlineStr">
        <is>
          <t>Ut Southwestern University Hospital</t>
        </is>
      </c>
      <c r="C1974" t="inlineStr">
        <is>
          <t>TX</t>
        </is>
      </c>
      <c r="D1974" t="inlineStr">
        <is>
          <t>Metropolitan</t>
        </is>
      </c>
      <c r="E1974" s="5" t="n">
        <v>6324</v>
      </c>
      <c r="F1974" s="4" t="n">
        <v>0.5717900063251107</v>
      </c>
      <c r="G1974" s="4" t="n">
        <v>0.5415967747541836</v>
      </c>
      <c r="H1974" s="3" t="n">
        <v>129967900.4960352</v>
      </c>
      <c r="I1974" s="3" t="n">
        <v>-3678687.646871984</v>
      </c>
      <c r="J1974" s="4" t="n">
        <v>-0.0283045862311533</v>
      </c>
      <c r="K1974">
        <f>IF(AND(I1974&gt;0,J1974&gt;=Assumptions!$B$4),1,0)</f>
        <v/>
      </c>
      <c r="L1974" s="3">
        <f>I1974*K1974</f>
        <v/>
      </c>
      <c r="M1974">
        <f>SUM($K$2:K1974)</f>
        <v/>
      </c>
    </row>
    <row r="1975">
      <c r="A1975" t="inlineStr">
        <is>
          <t>260032</t>
        </is>
      </c>
      <c r="B1975" t="inlineStr">
        <is>
          <t>Barnes Jewish Hospital</t>
        </is>
      </c>
      <c r="C1975" t="inlineStr">
        <is>
          <t>MO</t>
        </is>
      </c>
      <c r="D1975" t="inlineStr">
        <is>
          <t>Metropolitan</t>
        </is>
      </c>
      <c r="E1975" s="5" t="n">
        <v>8339</v>
      </c>
      <c r="F1975" s="4" t="n">
        <v>0.518767238277971</v>
      </c>
      <c r="G1975" s="4" t="n">
        <v>0.4990190878075022</v>
      </c>
      <c r="H1975" s="3" t="n">
        <v>180647699.6119111</v>
      </c>
      <c r="I1975" s="3" t="n">
        <v>-3742753.969537526</v>
      </c>
      <c r="J1975" s="4" t="n">
        <v>-0.0207185254923154</v>
      </c>
      <c r="K1975">
        <f>IF(AND(I1975&gt;0,J1975&gt;=Assumptions!$B$4),1,0)</f>
        <v/>
      </c>
      <c r="L1975" s="3">
        <f>I1975*K1975</f>
        <v/>
      </c>
      <c r="M1975">
        <f>SUM($K$2:K1975)</f>
        <v/>
      </c>
    </row>
    <row r="1976">
      <c r="A1976" t="inlineStr">
        <is>
          <t>360006</t>
        </is>
      </c>
      <c r="B1976" t="inlineStr">
        <is>
          <t>Riverside Methodist Hospital</t>
        </is>
      </c>
      <c r="C1976" t="inlineStr">
        <is>
          <t>OH</t>
        </is>
      </c>
      <c r="D1976" t="inlineStr">
        <is>
          <t>Metropolitan</t>
        </is>
      </c>
      <c r="E1976" s="5" t="n">
        <v>7424</v>
      </c>
      <c r="F1976" s="4" t="n">
        <v>0.5055226293103449</v>
      </c>
      <c r="G1976" s="4" t="n">
        <v>0.4778612358923689</v>
      </c>
      <c r="H1976" s="3" t="n">
        <v>149598506.2432116</v>
      </c>
      <c r="I1976" s="3" t="n">
        <v>-3960233.430012703</v>
      </c>
      <c r="J1976" s="4" t="n">
        <v>-0.0264724129235241</v>
      </c>
      <c r="K1976">
        <f>IF(AND(I1976&gt;0,J1976&gt;=Assumptions!$B$4),1,0)</f>
        <v/>
      </c>
      <c r="L1976" s="3">
        <f>I1976*K1976</f>
        <v/>
      </c>
      <c r="M1976">
        <f>SUM($K$2:K1976)</f>
        <v/>
      </c>
    </row>
    <row r="1977">
      <c r="A1977" t="inlineStr">
        <is>
          <t>050025</t>
        </is>
      </c>
      <c r="B1977" t="inlineStr">
        <is>
          <t>Uc San Diego Health Hillcrest - Hillcrest Med Ctr</t>
        </is>
      </c>
      <c r="C1977" t="inlineStr">
        <is>
          <t>CA</t>
        </is>
      </c>
      <c r="D1977" t="inlineStr">
        <is>
          <t>Metropolitan</t>
        </is>
      </c>
      <c r="E1977" s="5" t="n">
        <v>5239</v>
      </c>
      <c r="F1977" s="4" t="n">
        <v>0.5783546478335561</v>
      </c>
      <c r="G1977" s="4" t="n">
        <v>0.561895028336961</v>
      </c>
      <c r="H1977" s="3" t="n">
        <v>109681037.3016793</v>
      </c>
      <c r="I1977" s="3" t="n">
        <v>-3963629.210293591</v>
      </c>
      <c r="J1977" s="4" t="n">
        <v>-0.0361377801286796</v>
      </c>
      <c r="K1977">
        <f>IF(AND(I1977&gt;0,J1977&gt;=Assumptions!$B$4),1,0)</f>
        <v/>
      </c>
      <c r="L1977" s="3">
        <f>I1977*K1977</f>
        <v/>
      </c>
      <c r="M1977">
        <f>SUM($K$2:K1977)</f>
        <v/>
      </c>
    </row>
    <row r="1978">
      <c r="A1978" t="inlineStr">
        <is>
          <t>330045</t>
        </is>
      </c>
      <c r="B1978" t="inlineStr">
        <is>
          <t>Huntington Hospital</t>
        </is>
      </c>
      <c r="C1978" t="inlineStr">
        <is>
          <t>NY</t>
        </is>
      </c>
      <c r="D1978" t="inlineStr">
        <is>
          <t>Metropolitan</t>
        </is>
      </c>
      <c r="E1978" s="5" t="n">
        <v>5224</v>
      </c>
      <c r="F1978" s="4" t="n">
        <v>0.6680704441041347</v>
      </c>
      <c r="G1978" s="4" t="n">
        <v>0.5666266699249353</v>
      </c>
      <c r="H1978" s="3" t="n">
        <v>74576914.59171581</v>
      </c>
      <c r="I1978" s="3" t="n">
        <v>-4099294.761072977</v>
      </c>
      <c r="J1978" s="4" t="n">
        <v>-0.0549673418847544</v>
      </c>
      <c r="K1978">
        <f>IF(AND(I1978&gt;0,J1978&gt;=Assumptions!$B$4),1,0)</f>
        <v/>
      </c>
      <c r="L1978" s="3">
        <f>I1978*K1978</f>
        <v/>
      </c>
      <c r="M1978">
        <f>SUM($K$2:K1978)</f>
        <v/>
      </c>
    </row>
    <row r="1979">
      <c r="A1979" t="inlineStr">
        <is>
          <t>220110</t>
        </is>
      </c>
      <c r="B1979" t="inlineStr">
        <is>
          <t>Brigham And Women's Hospital</t>
        </is>
      </c>
      <c r="C1979" t="inlineStr">
        <is>
          <t>MA</t>
        </is>
      </c>
      <c r="D1979" t="inlineStr">
        <is>
          <t>Metropolitan</t>
        </is>
      </c>
      <c r="E1979" s="5" t="n">
        <v>9896</v>
      </c>
      <c r="F1979" s="4" t="n">
        <v>0.5123282134195635</v>
      </c>
      <c r="G1979" s="4" t="n">
        <v>0.4887432780301316</v>
      </c>
      <c r="H1979" s="3" t="n">
        <v>215682694.1016319</v>
      </c>
      <c r="I1979" s="3" t="n">
        <v>-4123890.753839552</v>
      </c>
      <c r="J1979" s="4" t="n">
        <v>-0.0191201745277548</v>
      </c>
      <c r="K1979">
        <f>IF(AND(I1979&gt;0,J1979&gt;=Assumptions!$B$4),1,0)</f>
        <v/>
      </c>
      <c r="L1979" s="3">
        <f>I1979*K1979</f>
        <v/>
      </c>
      <c r="M1979">
        <f>SUM($K$2:K1979)</f>
        <v/>
      </c>
    </row>
    <row r="1980">
      <c r="A1980" t="inlineStr">
        <is>
          <t>490063</t>
        </is>
      </c>
      <c r="B1980" t="inlineStr">
        <is>
          <t>Inova Fairfax Hospital</t>
        </is>
      </c>
      <c r="C1980" t="inlineStr">
        <is>
          <t>VA</t>
        </is>
      </c>
      <c r="D1980" t="inlineStr">
        <is>
          <t>Metropolitan</t>
        </is>
      </c>
      <c r="E1980" s="5" t="n">
        <v>9878</v>
      </c>
      <c r="F1980" s="4" t="n">
        <v>0.5924276169265034</v>
      </c>
      <c r="G1980" s="4" t="n">
        <v>0.5433159821740758</v>
      </c>
      <c r="H1980" s="3" t="n">
        <v>196129796.9962969</v>
      </c>
      <c r="I1980" s="3" t="n">
        <v>-4425521.181708336</v>
      </c>
      <c r="J1980" s="4" t="n">
        <v>-0.0225642469909449</v>
      </c>
      <c r="K1980">
        <f>IF(AND(I1980&gt;0,J1980&gt;=Assumptions!$B$4),1,0)</f>
        <v/>
      </c>
      <c r="L1980" s="3">
        <f>I1980*K1980</f>
        <v/>
      </c>
      <c r="M1980">
        <f>SUM($K$2:K1980)</f>
        <v/>
      </c>
    </row>
    <row r="1981">
      <c r="A1981" t="inlineStr">
        <is>
          <t>070022</t>
        </is>
      </c>
      <c r="B1981" t="inlineStr">
        <is>
          <t>Yale-New Haven Hospital</t>
        </is>
      </c>
      <c r="C1981" t="inlineStr">
        <is>
          <t>CT</t>
        </is>
      </c>
      <c r="D1981" t="inlineStr">
        <is>
          <t>Metropolitan</t>
        </is>
      </c>
      <c r="E1981" s="5" t="n">
        <v>8982</v>
      </c>
      <c r="F1981" s="4" t="n">
        <v>0.6036517479403251</v>
      </c>
      <c r="G1981" s="4" t="n">
        <v>0.5578289205605194</v>
      </c>
      <c r="H1981" s="3" t="n">
        <v>163119731.5399776</v>
      </c>
      <c r="I1981" s="3" t="n">
        <v>-4486901.200041085</v>
      </c>
      <c r="J1981" s="4" t="n">
        <v>-0.0275067961287162</v>
      </c>
      <c r="K1981">
        <f>IF(AND(I1981&gt;0,J1981&gt;=Assumptions!$B$4),1,0)</f>
        <v/>
      </c>
      <c r="L1981" s="3">
        <f>I1981*K1981</f>
        <v/>
      </c>
      <c r="M1981">
        <f>SUM($K$2:K1981)</f>
        <v/>
      </c>
    </row>
    <row r="1982">
      <c r="A1982" t="inlineStr">
        <is>
          <t>090011</t>
        </is>
      </c>
      <c r="B1982" t="inlineStr">
        <is>
          <t>Medstar Washington Hospital Center</t>
        </is>
      </c>
      <c r="C1982" t="inlineStr">
        <is>
          <t>DC</t>
        </is>
      </c>
      <c r="D1982" t="inlineStr">
        <is>
          <t>Metropolitan</t>
        </is>
      </c>
      <c r="E1982" s="5" t="n">
        <v>5895</v>
      </c>
      <c r="F1982" s="4" t="n">
        <v>0.5881255301102629</v>
      </c>
      <c r="G1982" s="4" t="n">
        <v>0.5257521470555938</v>
      </c>
      <c r="H1982" s="3" t="n">
        <v>132715089.9624311</v>
      </c>
      <c r="I1982" s="3" t="n">
        <v>-5048918.475251123</v>
      </c>
      <c r="J1982" s="4" t="n">
        <v>-0.0380432886469833</v>
      </c>
      <c r="K1982">
        <f>IF(AND(I1982&gt;0,J1982&gt;=Assumptions!$B$4),1,0)</f>
        <v/>
      </c>
      <c r="L1982" s="3">
        <f>I1982*K1982</f>
        <v/>
      </c>
      <c r="M1982">
        <f>SUM($K$2:K1982)</f>
        <v/>
      </c>
    </row>
    <row r="1983">
      <c r="A1983" t="inlineStr">
        <is>
          <t>450068</t>
        </is>
      </c>
      <c r="B1983" t="inlineStr">
        <is>
          <t>Memorial Hermann Texas Medical Center</t>
        </is>
      </c>
      <c r="C1983" t="inlineStr">
        <is>
          <t>TX</t>
        </is>
      </c>
      <c r="D1983" t="inlineStr">
        <is>
          <t>Metropolitan</t>
        </is>
      </c>
      <c r="E1983" s="5" t="n">
        <v>3862</v>
      </c>
      <c r="F1983" s="4" t="n">
        <v>0.6147074054893837</v>
      </c>
      <c r="G1983" s="4" t="n">
        <v>0.5148161091479989</v>
      </c>
      <c r="H1983" s="3" t="n">
        <v>80385316.89355044</v>
      </c>
      <c r="I1983" s="3" t="n">
        <v>-5477101.123240232</v>
      </c>
      <c r="J1983" s="4" t="n">
        <v>-0.06813559160926411</v>
      </c>
      <c r="K1983">
        <f>IF(AND(I1983&gt;0,J1983&gt;=Assumptions!$B$4),1,0)</f>
        <v/>
      </c>
      <c r="L1983" s="3">
        <f>I1983*K1983</f>
        <v/>
      </c>
      <c r="M1983">
        <f>SUM($K$2:K1983)</f>
        <v/>
      </c>
    </row>
    <row r="1984">
      <c r="A1984" t="inlineStr">
        <is>
          <t>450651</t>
        </is>
      </c>
      <c r="B1984" t="inlineStr">
        <is>
          <t>Medical City Plano</t>
        </is>
      </c>
      <c r="C1984" t="inlineStr">
        <is>
          <t>TX</t>
        </is>
      </c>
      <c r="D1984" t="inlineStr">
        <is>
          <t>Metropolitan</t>
        </is>
      </c>
      <c r="E1984" s="5" t="n">
        <v>4093</v>
      </c>
      <c r="F1984" s="4" t="n">
        <v>0.5343268995846567</v>
      </c>
      <c r="G1984" s="4" t="n">
        <v>0.4421423786881042</v>
      </c>
      <c r="H1984" s="3" t="n">
        <v>82103186.08343793</v>
      </c>
      <c r="I1984" s="3" t="n">
        <v>-5972807.643359125</v>
      </c>
      <c r="J1984" s="4" t="n">
        <v>-0.07274757446427491</v>
      </c>
      <c r="K1984">
        <f>IF(AND(I1984&gt;0,J1984&gt;=Assumptions!$B$4),1,0)</f>
        <v/>
      </c>
      <c r="L1984" s="3">
        <f>I1984*K1984</f>
        <v/>
      </c>
      <c r="M1984">
        <f>SUM($K$2:K1984)</f>
        <v/>
      </c>
    </row>
    <row r="1985">
      <c r="A1985" t="inlineStr">
        <is>
          <t>050135</t>
        </is>
      </c>
      <c r="B1985" t="inlineStr">
        <is>
          <t>Southern California Hospital At Hollywood</t>
        </is>
      </c>
      <c r="C1985" t="inlineStr">
        <is>
          <t>CA</t>
        </is>
      </c>
      <c r="D1985" t="inlineStr">
        <is>
          <t>Metropolitan</t>
        </is>
      </c>
      <c r="E1985" s="5" t="n">
        <v>3795</v>
      </c>
      <c r="F1985" s="4" t="n">
        <v>0.8405797101449275</v>
      </c>
      <c r="G1985" s="4" t="n">
        <v>0.5662237746781434</v>
      </c>
      <c r="H1985" s="3" t="n">
        <v>49058429.56049221</v>
      </c>
      <c r="I1985" s="3" t="n">
        <v>-6238342.421166785</v>
      </c>
      <c r="J1985" s="4" t="n">
        <v>-0.1271614782017126</v>
      </c>
      <c r="K1985">
        <f>IF(AND(I1985&gt;0,J1985&gt;=Assumptions!$B$4),1,0)</f>
        <v/>
      </c>
      <c r="L1985" s="3">
        <f>I1985*K1985</f>
        <v/>
      </c>
      <c r="M1985">
        <f>SUM($K$2:K1985)</f>
        <v/>
      </c>
    </row>
    <row r="1986">
      <c r="A1986" t="inlineStr">
        <is>
          <t>220071</t>
        </is>
      </c>
      <c r="B1986" t="inlineStr">
        <is>
          <t>Massachusetts General Hospital</t>
        </is>
      </c>
      <c r="C1986" t="inlineStr">
        <is>
          <t>MA</t>
        </is>
      </c>
      <c r="D1986" t="inlineStr">
        <is>
          <t>Metropolitan</t>
        </is>
      </c>
      <c r="E1986" s="5" t="n">
        <v>11730</v>
      </c>
      <c r="F1986" s="4" t="n">
        <v>0.5423699914748508</v>
      </c>
      <c r="G1986" s="4" t="n">
        <v>0.5096907091264784</v>
      </c>
      <c r="H1986" s="3" t="n">
        <v>250945104.8250607</v>
      </c>
      <c r="I1986" s="3" t="n">
        <v>-6245122.407243133</v>
      </c>
      <c r="J1986" s="4" t="n">
        <v>-0.0248864085697019</v>
      </c>
      <c r="K1986">
        <f>IF(AND(I1986&gt;0,J1986&gt;=Assumptions!$B$4),1,0)</f>
        <v/>
      </c>
      <c r="L1986" s="3">
        <f>I1986*K1986</f>
        <v/>
      </c>
      <c r="M1986">
        <f>SUM($K$2:K1986)</f>
        <v/>
      </c>
    </row>
    <row r="1987">
      <c r="A1987" t="inlineStr">
        <is>
          <t>140208</t>
        </is>
      </c>
      <c r="B1987" t="inlineStr">
        <is>
          <t>Advocate Christ Hospital &amp; Medical Center</t>
        </is>
      </c>
      <c r="C1987" t="inlineStr">
        <is>
          <t>IL</t>
        </is>
      </c>
      <c r="D1987" t="inlineStr">
        <is>
          <t>Metropolitan</t>
        </is>
      </c>
      <c r="E1987" s="5" t="n">
        <v>5737</v>
      </c>
      <c r="F1987" s="4" t="n">
        <v>0.6538260414850967</v>
      </c>
      <c r="G1987" s="4" t="n">
        <v>0.5566840706901878</v>
      </c>
      <c r="H1987" s="3" t="n">
        <v>105004016.2832422</v>
      </c>
      <c r="I1987" s="3" t="n">
        <v>-6920318.542896464</v>
      </c>
      <c r="J1987" s="4" t="n">
        <v>-0.0659052747490087</v>
      </c>
      <c r="K1987">
        <f>IF(AND(I1987&gt;0,J1987&gt;=Assumptions!$B$4),1,0)</f>
        <v/>
      </c>
      <c r="L1987" s="3">
        <f>I1987*K1987</f>
        <v/>
      </c>
      <c r="M1987">
        <f>SUM($K$2:K1987)</f>
        <v/>
      </c>
    </row>
    <row r="1988">
      <c r="A1988" t="inlineStr">
        <is>
          <t>170040</t>
        </is>
      </c>
      <c r="B1988" t="inlineStr">
        <is>
          <t>University Of Kansas Hospital</t>
        </is>
      </c>
      <c r="C1988" t="inlineStr">
        <is>
          <t>KS</t>
        </is>
      </c>
      <c r="D1988" t="inlineStr">
        <is>
          <t>Metropolitan</t>
        </is>
      </c>
      <c r="E1988" s="5" t="n">
        <v>8100</v>
      </c>
      <c r="F1988" s="4" t="n">
        <v>0.5654320987654321</v>
      </c>
      <c r="G1988" s="4" t="n">
        <v>0.5038070995407573</v>
      </c>
      <c r="H1988" s="3" t="n">
        <v>170761071.5293331</v>
      </c>
      <c r="I1988" s="3" t="n">
        <v>-7155155.879666418</v>
      </c>
      <c r="J1988" s="4" t="n">
        <v>-0.0419015634862499</v>
      </c>
      <c r="K1988">
        <f>IF(AND(I1988&gt;0,J1988&gt;=Assumptions!$B$4),1,0)</f>
        <v/>
      </c>
      <c r="L1988" s="3">
        <f>I1988*K1988</f>
        <v/>
      </c>
      <c r="M1988">
        <f>SUM($K$2:K1988)</f>
        <v/>
      </c>
    </row>
    <row r="1989">
      <c r="A1989" t="inlineStr">
        <is>
          <t>140281</t>
        </is>
      </c>
      <c r="B1989" t="inlineStr">
        <is>
          <t>Northwestern Memorial Hospital</t>
        </is>
      </c>
      <c r="C1989" t="inlineStr">
        <is>
          <t>IL</t>
        </is>
      </c>
      <c r="D1989" t="inlineStr">
        <is>
          <t>Metropolitan</t>
        </is>
      </c>
      <c r="E1989" s="5" t="n">
        <v>7763</v>
      </c>
      <c r="F1989" s="4" t="n">
        <v>0.5711709390699472</v>
      </c>
      <c r="G1989" s="4" t="n">
        <v>0.5388979779854381</v>
      </c>
      <c r="H1989" s="3" t="n">
        <v>156231096.3386673</v>
      </c>
      <c r="I1989" s="3" t="n">
        <v>-7421715.389913827</v>
      </c>
      <c r="J1989" s="4" t="n">
        <v>-0.0475047257802347</v>
      </c>
      <c r="K1989">
        <f>IF(AND(I1989&gt;0,J1989&gt;=Assumptions!$B$4),1,0)</f>
        <v/>
      </c>
      <c r="L1989" s="3">
        <f>I1989*K1989</f>
        <v/>
      </c>
      <c r="M1989">
        <f>SUM($K$2:K1989)</f>
        <v/>
      </c>
    </row>
    <row r="1990">
      <c r="A1990" t="inlineStr">
        <is>
          <t>370091</t>
        </is>
      </c>
      <c r="B1990" t="inlineStr">
        <is>
          <t>Saint Francis Hospital, Inc</t>
        </is>
      </c>
      <c r="C1990" t="inlineStr">
        <is>
          <t>OK</t>
        </is>
      </c>
      <c r="D1990" t="inlineStr">
        <is>
          <t>Metropolitan</t>
        </is>
      </c>
      <c r="E1990" s="5" t="n">
        <v>7682</v>
      </c>
      <c r="F1990" s="4" t="n">
        <v>0.6219734444155168</v>
      </c>
      <c r="G1990" s="4" t="n">
        <v>0.5380266251590482</v>
      </c>
      <c r="H1990" s="3" t="n">
        <v>135883826.858908</v>
      </c>
      <c r="I1990" s="3" t="n">
        <v>-7671055.272227526</v>
      </c>
      <c r="J1990" s="4" t="n">
        <v>-0.0564530411716517</v>
      </c>
      <c r="K1990">
        <f>IF(AND(I1990&gt;0,J1990&gt;=Assumptions!$B$4),1,0)</f>
        <v/>
      </c>
      <c r="L1990" s="3">
        <f>I1990*K1990</f>
        <v/>
      </c>
      <c r="M1990">
        <f>SUM($K$2:K1990)</f>
        <v/>
      </c>
    </row>
    <row r="1991">
      <c r="A1991" t="inlineStr">
        <is>
          <t>450184</t>
        </is>
      </c>
      <c r="B1991" t="inlineStr">
        <is>
          <t>Memorial Hermann Hospital System</t>
        </is>
      </c>
      <c r="C1991" t="inlineStr">
        <is>
          <t>TX</t>
        </is>
      </c>
      <c r="D1991" t="inlineStr">
        <is>
          <t>Metropolitan</t>
        </is>
      </c>
      <c r="E1991" s="5" t="n">
        <v>9304</v>
      </c>
      <c r="F1991" s="4" t="n">
        <v>0.6515477214101462</v>
      </c>
      <c r="G1991" s="4" t="n">
        <v>0.5691758333790397</v>
      </c>
      <c r="H1991" s="3" t="n">
        <v>170436512.9906735</v>
      </c>
      <c r="I1991" s="3" t="n">
        <v>-7830022.018663615</v>
      </c>
      <c r="J1991" s="4" t="n">
        <v>-0.0459409892943073</v>
      </c>
      <c r="K1991">
        <f>IF(AND(I1991&gt;0,J1991&gt;=Assumptions!$B$4),1,0)</f>
        <v/>
      </c>
      <c r="L1991" s="3">
        <f>I1991*K1991</f>
        <v/>
      </c>
      <c r="M1991">
        <f>SUM($K$2:K1991)</f>
        <v/>
      </c>
    </row>
    <row r="1992">
      <c r="A1992" t="inlineStr">
        <is>
          <t>450358</t>
        </is>
      </c>
      <c r="B1992" t="inlineStr">
        <is>
          <t>Houston Methodist Hospital</t>
        </is>
      </c>
      <c r="C1992" t="inlineStr">
        <is>
          <t>TX</t>
        </is>
      </c>
      <c r="D1992" t="inlineStr">
        <is>
          <t>Metropolitan</t>
        </is>
      </c>
      <c r="E1992" s="5" t="n">
        <v>8714</v>
      </c>
      <c r="F1992" s="4" t="n">
        <v>0.6038558641266927</v>
      </c>
      <c r="G1992" s="4" t="n">
        <v>0.5359972444085213</v>
      </c>
      <c r="H1992" s="3" t="n">
        <v>174121139.8954756</v>
      </c>
      <c r="I1992" s="3" t="n">
        <v>-8686822.396526188</v>
      </c>
      <c r="J1992" s="4" t="n">
        <v>-0.0498895332395644</v>
      </c>
      <c r="K1992">
        <f>IF(AND(I1992&gt;0,J1992&gt;=Assumptions!$B$4),1,0)</f>
        <v/>
      </c>
      <c r="L1992" s="3">
        <f>I1992*K1992</f>
        <v/>
      </c>
      <c r="M1992">
        <f>SUM($K$2:K1992)</f>
        <v/>
      </c>
    </row>
    <row r="1993">
      <c r="A1993" t="inlineStr">
        <is>
          <t>050625</t>
        </is>
      </c>
      <c r="B1993" t="inlineStr">
        <is>
          <t>Cedars-Sinai Medical Center</t>
        </is>
      </c>
      <c r="C1993" t="inlineStr">
        <is>
          <t>CA</t>
        </is>
      </c>
      <c r="D1993" t="inlineStr">
        <is>
          <t>Metropolitan</t>
        </is>
      </c>
      <c r="E1993" s="5" t="n">
        <v>13464</v>
      </c>
      <c r="F1993" s="4" t="n">
        <v>0.5574866310160428</v>
      </c>
      <c r="G1993" s="4" t="n">
        <v>0.5175375985120795</v>
      </c>
      <c r="H1993" s="3" t="n">
        <v>284896102.5001079</v>
      </c>
      <c r="I1993" s="3" t="n">
        <v>-9030216.86501956</v>
      </c>
      <c r="J1993" s="4" t="n">
        <v>-0.0316965265083475</v>
      </c>
      <c r="K1993">
        <f>IF(AND(I1993&gt;0,J1993&gt;=Assumptions!$B$4),1,0)</f>
        <v/>
      </c>
      <c r="L1993" s="3">
        <f>I1993*K1993</f>
        <v/>
      </c>
      <c r="M1993">
        <f>SUM($K$2:K1993)</f>
        <v/>
      </c>
    </row>
    <row r="1994">
      <c r="A1994" t="inlineStr">
        <is>
          <t>330101</t>
        </is>
      </c>
      <c r="B1994" t="inlineStr">
        <is>
          <t>New York-Presbyterian Hospital</t>
        </is>
      </c>
      <c r="C1994" t="inlineStr">
        <is>
          <t>NY</t>
        </is>
      </c>
      <c r="D1994" t="inlineStr">
        <is>
          <t>Metropolitan</t>
        </is>
      </c>
      <c r="E1994" s="5" t="n">
        <v>23436</v>
      </c>
      <c r="F1994" s="4" t="n">
        <v>0.5561955965181772</v>
      </c>
      <c r="G1994" s="4" t="n">
        <v>0.5308907549105245</v>
      </c>
      <c r="H1994" s="3" t="n">
        <v>448262738.6898628</v>
      </c>
      <c r="I1994" s="3" t="n">
        <v>-9084211.417696357</v>
      </c>
      <c r="J1994" s="4" t="n">
        <v>-0.0202653725898493</v>
      </c>
      <c r="K1994">
        <f>IF(AND(I1994&gt;0,J1994&gt;=Assumptions!$B$4),1,0)</f>
        <v/>
      </c>
      <c r="L1994" s="3">
        <f>I1994*K1994</f>
        <v/>
      </c>
      <c r="M1994">
        <f>SUM($K$2:K1994)</f>
        <v/>
      </c>
    </row>
    <row r="1995">
      <c r="A1995" t="inlineStr">
        <is>
          <t>050454</t>
        </is>
      </c>
      <c r="B1995" t="inlineStr">
        <is>
          <t>Ucsf Medical Center</t>
        </is>
      </c>
      <c r="C1995" t="inlineStr">
        <is>
          <t>CA</t>
        </is>
      </c>
      <c r="D1995" t="inlineStr">
        <is>
          <t>Metropolitan</t>
        </is>
      </c>
      <c r="E1995" s="5" t="n">
        <v>6646</v>
      </c>
      <c r="F1995" s="4" t="n">
        <v>0.5621426421907915</v>
      </c>
      <c r="G1995" s="4" t="n">
        <v>0.508418247198156</v>
      </c>
      <c r="H1995" s="3" t="n">
        <v>157445398.5288166</v>
      </c>
      <c r="I1995" s="3" t="n">
        <v>-9988037.621081799</v>
      </c>
      <c r="J1995" s="4" t="n">
        <v>-0.06343810434862419</v>
      </c>
      <c r="K1995">
        <f>IF(AND(I1995&gt;0,J1995&gt;=Assumptions!$B$4),1,0)</f>
        <v/>
      </c>
      <c r="L1995" s="3">
        <f>I1995*K1995</f>
        <v/>
      </c>
      <c r="M1995">
        <f>SUM($K$2:K1995)</f>
        <v/>
      </c>
    </row>
    <row r="1996">
      <c r="A1996" t="inlineStr">
        <is>
          <t>100007</t>
        </is>
      </c>
      <c r="B1996" t="inlineStr">
        <is>
          <t>Adventhealth Orlando</t>
        </is>
      </c>
      <c r="C1996" t="inlineStr">
        <is>
          <t>FL</t>
        </is>
      </c>
      <c r="D1996" t="inlineStr">
        <is>
          <t>Metropolitan</t>
        </is>
      </c>
      <c r="E1996" s="5" t="n">
        <v>27087</v>
      </c>
      <c r="F1996" s="4" t="n">
        <v>0.5760697013327426</v>
      </c>
      <c r="G1996" s="4" t="n">
        <v>0.5331178288572553</v>
      </c>
      <c r="H1996" s="3" t="n">
        <v>454397616.9023294</v>
      </c>
      <c r="I1996" s="3" t="n">
        <v>-12593223.26432002</v>
      </c>
      <c r="J1996" s="4" t="n">
        <v>-0.0277141049950243</v>
      </c>
      <c r="K1996">
        <f>IF(AND(I1996&gt;0,J1996&gt;=Assumptions!$B$4),1,0)</f>
        <v/>
      </c>
      <c r="L1996" s="3">
        <f>I1996*K1996</f>
        <v/>
      </c>
      <c r="M1996">
        <f>SUM($K$2:K1996)</f>
        <v/>
      </c>
    </row>
    <row r="1997">
      <c r="A1997" t="inlineStr">
        <is>
          <t>330214</t>
        </is>
      </c>
      <c r="B1997" t="inlineStr">
        <is>
          <t>Nyu Langone Hospitals</t>
        </is>
      </c>
      <c r="C1997" t="inlineStr">
        <is>
          <t>NY</t>
        </is>
      </c>
      <c r="D1997" t="inlineStr">
        <is>
          <t>Metropolitan</t>
        </is>
      </c>
      <c r="E1997" s="5" t="n">
        <v>21873</v>
      </c>
      <c r="F1997" s="4" t="n">
        <v>0.5633429342111279</v>
      </c>
      <c r="G1997" s="4" t="n">
        <v>0.5131301771935357</v>
      </c>
      <c r="H1997" s="3" t="n">
        <v>410867559.459164</v>
      </c>
      <c r="I1997" s="3" t="n">
        <v>-17203341.5781725</v>
      </c>
      <c r="J1997" s="4" t="n">
        <v>-0.0418707712062196</v>
      </c>
      <c r="K1997">
        <f>IF(AND(I1997&gt;0,J1997&gt;=Assumptions!$B$4),1,0)</f>
        <v/>
      </c>
      <c r="L1997" s="3">
        <f>I1997*K1997</f>
        <v/>
      </c>
      <c r="M1997">
        <f>SUM($K$2:K1997)</f>
        <v/>
      </c>
    </row>
  </sheetData>
  <autoFilter ref="A1:M19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Documentation-capture opportunity: annual payment effect, all payers on Medicare cases</t>
        </is>
      </c>
    </row>
    <row r="2">
      <c r="A2" s="7" t="inlineStr">
        <is>
          <t>Eligible shortfall x capture rate. A screen for clinical review - not a revenue forecast.</t>
        </is>
      </c>
    </row>
    <row r="4">
      <c r="A4" s="2" t="inlineStr">
        <is>
          <t>Scope</t>
        </is>
      </c>
      <c r="B4" s="2" t="inlineStr">
        <is>
          <t>Hospitals in scope</t>
        </is>
      </c>
      <c r="C4" s="2" t="inlineStr">
        <is>
          <t>Eligible shortfall ($)</t>
        </is>
      </c>
      <c r="D4" s="2" t="inlineStr">
        <is>
          <t>Low</t>
        </is>
      </c>
      <c r="E4" s="2" t="inlineStr">
        <is>
          <t>Base</t>
        </is>
      </c>
      <c r="F4" s="2" t="inlineStr">
        <is>
          <t>High</t>
        </is>
      </c>
    </row>
    <row r="5">
      <c r="A5">
        <f>"A. Pilot (top "&amp;TEXT(MIN(Assumptions!$B$8,MAX(Hospital_Screen!$M$2:$M$1997)),"#,##0")&amp;" hospitals)"</f>
        <v/>
      </c>
      <c r="B5" s="5">
        <f>MIN(Assumptions!$B$8,MAX(Hospital_Screen!$M$2:$M$1997))</f>
        <v/>
      </c>
      <c r="C5" s="3">
        <f>SUMIFS(Hospital_Screen!$L$2:$L$1997,Hospital_Screen!$M$2:$M$1997,"&lt;="&amp;Assumptions!$B$8)</f>
        <v/>
      </c>
      <c r="D5" s="3">
        <f>$C5*Assumptions!$B$5</f>
        <v/>
      </c>
      <c r="E5" s="3">
        <f>$C5*Assumptions!$B$6</f>
        <v/>
      </c>
      <c r="F5" s="3">
        <f>$C5*Assumptions!$B$7</f>
        <v/>
      </c>
    </row>
    <row r="6">
      <c r="A6">
        <f>"B. Programme (top "&amp;TEXT(MIN(Assumptions!$B$9,MAX(Hospital_Screen!$M$2:$M$1997)),"#,##0")&amp;" hospitals)"</f>
        <v/>
      </c>
      <c r="B6" s="5">
        <f>MIN(Assumptions!$B$9,MAX(Hospital_Screen!$M$2:$M$1997))</f>
        <v/>
      </c>
      <c r="C6" s="3">
        <f>SUMIFS(Hospital_Screen!$L$2:$L$1997,Hospital_Screen!$M$2:$M$1997,"&lt;="&amp;Assumptions!$B$9)</f>
        <v/>
      </c>
      <c r="D6" s="3">
        <f>$C6*Assumptions!$B$5</f>
        <v/>
      </c>
      <c r="E6" s="3">
        <f>$C6*Assumptions!$B$6</f>
        <v/>
      </c>
      <c r="F6" s="3">
        <f>$C6*Assumptions!$B$7</f>
        <v/>
      </c>
    </row>
    <row r="7">
      <c r="A7">
        <f>"C. All eligible (top "&amp;TEXT(MIN(Assumptions!$B$10,MAX(Hospital_Screen!$M$2:$M$1997)),"#,##0")&amp;" hospitals)"</f>
        <v/>
      </c>
      <c r="B7" s="5">
        <f>MIN(Assumptions!$B$10,MAX(Hospital_Screen!$M$2:$M$1997))</f>
        <v/>
      </c>
      <c r="C7" s="3">
        <f>SUMIFS(Hospital_Screen!$L$2:$L$1997,Hospital_Screen!$M$2:$M$1997,"&lt;="&amp;Assumptions!$B$10)</f>
        <v/>
      </c>
      <c r="D7" s="3">
        <f>$C7*Assumptions!$B$5</f>
        <v/>
      </c>
      <c r="E7" s="3">
        <f>$C7*Assumptions!$B$6</f>
        <v/>
      </c>
      <c r="F7" s="3">
        <f>$C7*Assumptions!$B$7</f>
        <v/>
      </c>
    </row>
    <row r="9">
      <c r="A9" t="inlineStr">
        <is>
          <t>Eligible hospitals / total screened</t>
        </is>
      </c>
      <c r="B9" s="5">
        <f>MAX(Hospital_Screen!$M$2:$M$1997)</f>
        <v/>
      </c>
      <c r="C9" s="5">
        <f>COUNT(Hospital_Screen!$I$2:$I$1997)</f>
        <v/>
      </c>
    </row>
    <row r="10">
      <c r="A10" t="inlineStr">
        <is>
          <t>Eligible shortfall as % of expected payments on tiered DRGs</t>
        </is>
      </c>
      <c r="C10" s="13">
        <f>SUMIFS(Hospital_Screen!$L$2:$L$1997,Hospital_Screen!$M$2:$M$1997,"&gt;0")/SUM(Hospital_Screen!$H$2:$H$1997)</f>
        <v/>
      </c>
    </row>
    <row r="13">
      <c r="A13" s="12" t="inlineStr">
        <is>
          <t>Sensitivity: all hospitals at or above the threshold, by capture rate</t>
        </is>
      </c>
    </row>
    <row r="14">
      <c r="A14" s="2" t="inlineStr">
        <is>
          <t>Capture rate \ review threshold</t>
        </is>
      </c>
      <c r="B14" s="14" t="n">
        <v>0</v>
      </c>
      <c r="C14" s="14" t="n">
        <v>0.01</v>
      </c>
      <c r="D14" s="14" t="n">
        <v>0.02</v>
      </c>
      <c r="E14" s="14" t="n">
        <v>0.03</v>
      </c>
      <c r="F14" s="14" t="n">
        <v>0.05</v>
      </c>
    </row>
    <row r="15">
      <c r="A15" s="15" t="n">
        <v>0.05</v>
      </c>
      <c r="B15" s="6">
        <f>SUMIFS(Hospital_Screen!$I$2:$I$1997,Hospital_Screen!$J$2:$J$1997,"&gt;="&amp;B$14,Hospital_Screen!$I$2:$I$1997,"&gt;0")*$A15</f>
        <v/>
      </c>
      <c r="C15" s="6">
        <f>SUMIFS(Hospital_Screen!$I$2:$I$1997,Hospital_Screen!$J$2:$J$1997,"&gt;="&amp;C$14,Hospital_Screen!$I$2:$I$1997,"&gt;0")*$A15</f>
        <v/>
      </c>
      <c r="D15" s="6">
        <f>SUMIFS(Hospital_Screen!$I$2:$I$1997,Hospital_Screen!$J$2:$J$1997,"&gt;="&amp;D$14,Hospital_Screen!$I$2:$I$1997,"&gt;0")*$A15</f>
        <v/>
      </c>
      <c r="E15" s="6">
        <f>SUMIFS(Hospital_Screen!$I$2:$I$1997,Hospital_Screen!$J$2:$J$1997,"&gt;="&amp;E$14,Hospital_Screen!$I$2:$I$1997,"&gt;0")*$A15</f>
        <v/>
      </c>
      <c r="F15" s="6">
        <f>SUMIFS(Hospital_Screen!$I$2:$I$1997,Hospital_Screen!$J$2:$J$1997,"&gt;="&amp;F$14,Hospital_Screen!$I$2:$I$1997,"&gt;0")*$A15</f>
        <v/>
      </c>
    </row>
    <row r="16">
      <c r="A16" s="15" t="n">
        <v>0.1</v>
      </c>
      <c r="B16" s="6">
        <f>SUMIFS(Hospital_Screen!$I$2:$I$1997,Hospital_Screen!$J$2:$J$1997,"&gt;="&amp;B$14,Hospital_Screen!$I$2:$I$1997,"&gt;0")*$A16</f>
        <v/>
      </c>
      <c r="C16" s="6">
        <f>SUMIFS(Hospital_Screen!$I$2:$I$1997,Hospital_Screen!$J$2:$J$1997,"&gt;="&amp;C$14,Hospital_Screen!$I$2:$I$1997,"&gt;0")*$A16</f>
        <v/>
      </c>
      <c r="D16" s="6">
        <f>SUMIFS(Hospital_Screen!$I$2:$I$1997,Hospital_Screen!$J$2:$J$1997,"&gt;="&amp;D$14,Hospital_Screen!$I$2:$I$1997,"&gt;0")*$A16</f>
        <v/>
      </c>
      <c r="E16" s="6">
        <f>SUMIFS(Hospital_Screen!$I$2:$I$1997,Hospital_Screen!$J$2:$J$1997,"&gt;="&amp;E$14,Hospital_Screen!$I$2:$I$1997,"&gt;0")*$A16</f>
        <v/>
      </c>
      <c r="F16" s="6">
        <f>SUMIFS(Hospital_Screen!$I$2:$I$1997,Hospital_Screen!$J$2:$J$1997,"&gt;="&amp;F$14,Hospital_Screen!$I$2:$I$1997,"&gt;0")*$A16</f>
        <v/>
      </c>
    </row>
    <row r="17">
      <c r="A17" s="15" t="n">
        <v>0.25</v>
      </c>
      <c r="B17" s="6">
        <f>SUMIFS(Hospital_Screen!$I$2:$I$1997,Hospital_Screen!$J$2:$J$1997,"&gt;="&amp;B$14,Hospital_Screen!$I$2:$I$1997,"&gt;0")*$A17</f>
        <v/>
      </c>
      <c r="C17" s="6">
        <f>SUMIFS(Hospital_Screen!$I$2:$I$1997,Hospital_Screen!$J$2:$J$1997,"&gt;="&amp;C$14,Hospital_Screen!$I$2:$I$1997,"&gt;0")*$A17</f>
        <v/>
      </c>
      <c r="D17" s="6">
        <f>SUMIFS(Hospital_Screen!$I$2:$I$1997,Hospital_Screen!$J$2:$J$1997,"&gt;="&amp;D$14,Hospital_Screen!$I$2:$I$1997,"&gt;0")*$A17</f>
        <v/>
      </c>
      <c r="E17" s="6">
        <f>SUMIFS(Hospital_Screen!$I$2:$I$1997,Hospital_Screen!$J$2:$J$1997,"&gt;="&amp;E$14,Hospital_Screen!$I$2:$I$1997,"&gt;0")*$A17</f>
        <v/>
      </c>
      <c r="F17" s="6">
        <f>SUMIFS(Hospital_Screen!$I$2:$I$1997,Hospital_Screen!$J$2:$J$1997,"&gt;="&amp;F$14,Hospital_Screen!$I$2:$I$1997,"&gt;0")*$A17</f>
        <v/>
      </c>
    </row>
    <row r="18">
      <c r="A18" s="15" t="n">
        <v>0.5</v>
      </c>
      <c r="B18" s="6">
        <f>SUMIFS(Hospital_Screen!$I$2:$I$1997,Hospital_Screen!$J$2:$J$1997,"&gt;="&amp;B$14,Hospital_Screen!$I$2:$I$1997,"&gt;0")*$A18</f>
        <v/>
      </c>
      <c r="C18" s="6">
        <f>SUMIFS(Hospital_Screen!$I$2:$I$1997,Hospital_Screen!$J$2:$J$1997,"&gt;="&amp;C$14,Hospital_Screen!$I$2:$I$1997,"&gt;0")*$A18</f>
        <v/>
      </c>
      <c r="D18" s="6">
        <f>SUMIFS(Hospital_Screen!$I$2:$I$1997,Hospital_Screen!$J$2:$J$1997,"&gt;="&amp;D$14,Hospital_Screen!$I$2:$I$1997,"&gt;0")*$A18</f>
        <v/>
      </c>
      <c r="E18" s="6">
        <f>SUMIFS(Hospital_Screen!$I$2:$I$1997,Hospital_Screen!$J$2:$J$1997,"&gt;="&amp;E$14,Hospital_Screen!$I$2:$I$1997,"&gt;0")*$A18</f>
        <v/>
      </c>
      <c r="F18" s="6">
        <f>SUMIFS(Hospital_Screen!$I$2:$I$1997,Hospital_Screen!$J$2:$J$1997,"&gt;="&amp;F$14,Hospital_Screen!$I$2:$I$1997,"&gt;0")*$A18</f>
        <v/>
      </c>
    </row>
    <row r="21">
      <c r="A21" s="12" t="inlineStr">
        <is>
          <t>Cross-check: same figures computed in Python from the SQL view (should equal the Base column and the 2% / 25% sensitivity cell)</t>
        </is>
      </c>
    </row>
    <row r="22">
      <c r="A22" s="2" t="inlineStr">
        <is>
          <t>Scope</t>
        </is>
      </c>
      <c r="B22" s="2" t="inlineStr">
        <is>
          <t>Python (Base 25%)</t>
        </is>
      </c>
      <c r="C22" s="2" t="inlineStr">
        <is>
          <t>Excel (Base)</t>
        </is>
      </c>
      <c r="D22" s="2" t="inlineStr">
        <is>
          <t>Difference</t>
        </is>
      </c>
    </row>
    <row r="23">
      <c r="A23" t="inlineStr">
        <is>
          <t>A</t>
        </is>
      </c>
      <c r="B23" s="3" t="n">
        <v>31331554.51176198</v>
      </c>
      <c r="C23" s="3">
        <f>E5</f>
        <v/>
      </c>
      <c r="D23" s="3">
        <f>C23-B23</f>
        <v/>
      </c>
    </row>
    <row r="24">
      <c r="A24" t="inlineStr">
        <is>
          <t>B</t>
        </is>
      </c>
      <c r="B24" s="3" t="n">
        <v>75407007.63962294</v>
      </c>
      <c r="C24" s="3">
        <f>E6</f>
        <v/>
      </c>
      <c r="D24" s="3">
        <f>C24-B24</f>
        <v/>
      </c>
    </row>
    <row r="25">
      <c r="A25" t="inlineStr">
        <is>
          <t>C</t>
        </is>
      </c>
      <c r="B25" s="3" t="n">
        <v>138748240.3347583</v>
      </c>
      <c r="C25" s="3">
        <f>E7</f>
        <v/>
      </c>
      <c r="D25" s="3">
        <f>C25-B25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00" customWidth="1" min="4" max="4"/>
  </cols>
  <sheetData>
    <row r="1">
      <c r="A1" s="8" t="inlineStr">
        <is>
          <t>What changed from v1 of this model, and why</t>
        </is>
      </c>
    </row>
    <row r="3">
      <c r="A3" s="2" t="inlineStr">
        <is>
          <t>v1 figure</t>
        </is>
      </c>
      <c r="B3" s="2" t="inlineStr">
        <is>
          <t>v1 value</t>
        </is>
      </c>
      <c r="C3" s="2" t="inlineStr">
        <is>
          <t>Corrected / retired</t>
        </is>
      </c>
      <c r="D3" s="2" t="inlineStr">
        <is>
          <t>Cause</t>
        </is>
      </c>
    </row>
    <row r="4" ht="48" customHeight="1">
      <c r="A4" t="inlineStr">
        <is>
          <t>Total 'revenue gap'</t>
        </is>
      </c>
      <c r="B4" s="3" t="n">
        <v>717550000000</v>
      </c>
      <c r="C4" s="3" t="n">
        <v>343758190294.0491</v>
      </c>
      <c r="D4" s="16" t="inlineStr">
        <is>
          <t>v1 summed an entire pivot-table column, including its Grand Total row, so every dollar counted twice ($358.8B on Medicare payment). v2 uses all-payer payment: $343.8B.</t>
        </is>
      </c>
    </row>
    <row r="5" ht="48" customHeight="1">
      <c r="A5" t="inlineStr">
        <is>
          <t>'Top DRG optimisation' (8%)</t>
        </is>
      </c>
      <c r="B5" s="3" t="n">
        <v>57400000000</v>
      </c>
      <c r="C5" s="3" t="n">
        <v>8990000000</v>
      </c>
      <c r="D5" s="16" t="inlineStr">
        <is>
          <t>v1 applied 8% to the whole gap, not the top 10 DRGs (31% of the gap). Correct v1 logic = 8% x $112.5B.</t>
        </is>
      </c>
    </row>
    <row r="6" ht="48" customHeight="1">
      <c r="A6" t="inlineStr">
        <is>
          <t>'Top 20 providers' (10%)</t>
        </is>
      </c>
      <c r="B6" s="3" t="n">
        <v>236000000</v>
      </c>
      <c r="C6" s="3" t="n">
        <v>4650000000</v>
      </c>
      <c r="D6" s="16" t="inlineStr">
        <is>
          <t>v1 summed the first 20 rows of an unsorted pivot, not the largest 20. Correct v1 logic = 10% x $46.5B.</t>
        </is>
      </c>
    </row>
    <row r="7" ht="48" customHeight="1">
      <c r="A7" t="inlineStr">
        <is>
          <t>'5% efficiency gain'</t>
        </is>
      </c>
      <c r="B7" s="3" t="n">
        <v>35900000000</v>
      </c>
      <c r="C7" s="3" t="n">
        <v>17900000000</v>
      </c>
      <c r="D7" s="16" t="inlineStr">
        <is>
          <t>Halved once the doubled total is fixed (5% x $358.8B).</t>
        </is>
      </c>
    </row>
    <row r="8" ht="48" customHeight="1">
      <c r="A8" t="inlineStr">
        <is>
          <t>'1% efficiency gain'</t>
        </is>
      </c>
      <c r="B8" s="3" t="n">
        <v>7180000000</v>
      </c>
      <c r="C8" s="3" t="n">
        <v>3590000000</v>
      </c>
      <c r="D8" s="16" t="inlineStr">
        <is>
          <t>Same doubling.</t>
        </is>
      </c>
    </row>
    <row r="10" ht="62" customHeight="1">
      <c r="A10" s="16" t="inlineStr">
        <is>
          <t>More important than the arithmetic: charges are list prices, not expected revenue, and Medicare pays a fixed DRG rate regardless of charges. v1's 'recovery' scenarios therefore described money that was never collectable. v2 replaces them with the one lever hospitals control - documentation of case severity.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2026-10-10T19:08:57Z</dcterms:created>
  <dcterms:modified xsi:type="dcterms:W3CDTF">2026-10-10T19:08:57Z</dcterms:modified>
</cp:coreProperties>
</file>